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DD9C687-05B1-44DE-B502-9E5254031CFE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Лист1" sheetId="1" r:id="rId1"/>
    <sheet name="Лист1 (2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8" i="2" l="1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58" i="2"/>
  <c r="K60" i="2"/>
  <c r="K62" i="2"/>
  <c r="K64" i="2"/>
  <c r="K66" i="2"/>
  <c r="K68" i="2"/>
  <c r="K70" i="2"/>
  <c r="H71" i="2"/>
  <c r="A58" i="2"/>
  <c r="B59" i="2" s="1"/>
  <c r="C59" i="2" s="1"/>
  <c r="C60" i="2" s="1"/>
  <c r="A57" i="2"/>
  <c r="F58" i="2" s="1"/>
  <c r="A52" i="2"/>
  <c r="B50" i="2"/>
  <c r="C50" i="2" s="1"/>
  <c r="B45" i="2"/>
  <c r="C45" i="2" s="1"/>
  <c r="B44" i="2"/>
  <c r="C44" i="2" s="1"/>
  <c r="C41" i="2"/>
  <c r="B41" i="2"/>
  <c r="B39" i="2"/>
  <c r="C39" i="2" s="1"/>
  <c r="B38" i="2"/>
  <c r="C38" i="2" s="1"/>
  <c r="B37" i="2"/>
  <c r="C37" i="2" s="1"/>
  <c r="C35" i="2"/>
  <c r="B35" i="2"/>
  <c r="B33" i="2"/>
  <c r="C33" i="2" s="1"/>
  <c r="B32" i="2"/>
  <c r="C32" i="2" s="1"/>
  <c r="B31" i="2"/>
  <c r="C31" i="2" s="1"/>
  <c r="C29" i="2"/>
  <c r="B29" i="2"/>
  <c r="B27" i="2"/>
  <c r="C27" i="2" s="1"/>
  <c r="B26" i="2"/>
  <c r="C26" i="2" s="1"/>
  <c r="B25" i="2"/>
  <c r="C25" i="2" s="1"/>
  <c r="C23" i="2"/>
  <c r="B23" i="2"/>
  <c r="B21" i="2"/>
  <c r="C21" i="2" s="1"/>
  <c r="B20" i="2"/>
  <c r="C20" i="2" s="1"/>
  <c r="B19" i="2"/>
  <c r="C19" i="2" s="1"/>
  <c r="C17" i="2"/>
  <c r="B17" i="2"/>
  <c r="B15" i="2"/>
  <c r="C15" i="2" s="1"/>
  <c r="B14" i="2"/>
  <c r="C14" i="2" s="1"/>
  <c r="B13" i="2"/>
  <c r="C13" i="2" s="1"/>
  <c r="B11" i="2"/>
  <c r="C11" i="2" s="1"/>
  <c r="C10" i="2"/>
  <c r="B10" i="2"/>
  <c r="B9" i="2"/>
  <c r="C9" i="2" s="1"/>
  <c r="B8" i="2"/>
  <c r="C8" i="2" s="1"/>
  <c r="B7" i="2"/>
  <c r="C7" i="2" s="1"/>
  <c r="C5" i="2"/>
  <c r="B5" i="2"/>
  <c r="C4" i="2"/>
  <c r="B4" i="2"/>
  <c r="B3" i="2"/>
  <c r="C3" i="2" s="1"/>
  <c r="B2" i="2"/>
  <c r="C2" i="2" s="1"/>
  <c r="B1" i="2"/>
  <c r="L57" i="1"/>
  <c r="L72" i="1"/>
  <c r="L70" i="1"/>
  <c r="R60" i="1"/>
  <c r="R61" i="1"/>
  <c r="R59" i="1"/>
  <c r="H71" i="1"/>
  <c r="A58" i="1"/>
  <c r="A57" i="1"/>
  <c r="F58" i="1" s="1"/>
  <c r="H58" i="2" l="1"/>
  <c r="F59" i="2"/>
  <c r="B16" i="2"/>
  <c r="C16" i="2" s="1"/>
  <c r="B22" i="2"/>
  <c r="C22" i="2" s="1"/>
  <c r="B28" i="2"/>
  <c r="C28" i="2" s="1"/>
  <c r="B34" i="2"/>
  <c r="C34" i="2" s="1"/>
  <c r="B40" i="2"/>
  <c r="C40" i="2" s="1"/>
  <c r="B46" i="2"/>
  <c r="C46" i="2" s="1"/>
  <c r="B47" i="2"/>
  <c r="C47" i="2" s="1"/>
  <c r="B6" i="2"/>
  <c r="C6" i="2" s="1"/>
  <c r="B12" i="2"/>
  <c r="C12" i="2" s="1"/>
  <c r="B18" i="2"/>
  <c r="C18" i="2" s="1"/>
  <c r="B24" i="2"/>
  <c r="C24" i="2" s="1"/>
  <c r="B30" i="2"/>
  <c r="C30" i="2" s="1"/>
  <c r="B36" i="2"/>
  <c r="C36" i="2" s="1"/>
  <c r="B42" i="2"/>
  <c r="C42" i="2" s="1"/>
  <c r="B48" i="2"/>
  <c r="C48" i="2" s="1"/>
  <c r="B43" i="2"/>
  <c r="C43" i="2" s="1"/>
  <c r="B49" i="2"/>
  <c r="C49" i="2" s="1"/>
  <c r="C1" i="2"/>
  <c r="B59" i="1"/>
  <c r="C59" i="1" s="1"/>
  <c r="C60" i="1" s="1"/>
  <c r="F59" i="1" s="1"/>
  <c r="F60" i="1" s="1"/>
  <c r="H62" i="1" s="1"/>
  <c r="H58" i="1"/>
  <c r="H60" i="2" l="1"/>
  <c r="F60" i="2"/>
  <c r="H59" i="2"/>
  <c r="I58" i="2"/>
  <c r="J58" i="2" s="1"/>
  <c r="C55" i="2"/>
  <c r="C52" i="2"/>
  <c r="B52" i="2"/>
  <c r="H60" i="1"/>
  <c r="H59" i="1"/>
  <c r="I58" i="1" s="1"/>
  <c r="J58" i="1" s="1"/>
  <c r="F61" i="1"/>
  <c r="H61" i="1"/>
  <c r="I60" i="1" s="1"/>
  <c r="J60" i="1" s="1"/>
  <c r="K58" i="1"/>
  <c r="A52" i="1"/>
  <c r="L72" i="2" l="1"/>
  <c r="L57" i="2"/>
  <c r="P59" i="2"/>
  <c r="C53" i="2"/>
  <c r="P61" i="2"/>
  <c r="O61" i="2"/>
  <c r="O59" i="2"/>
  <c r="P60" i="2"/>
  <c r="O60" i="2"/>
  <c r="H61" i="2"/>
  <c r="F61" i="2"/>
  <c r="H62" i="2"/>
  <c r="I60" i="2"/>
  <c r="J60" i="2" s="1"/>
  <c r="K60" i="1"/>
  <c r="B9" i="1"/>
  <c r="C9" i="1" s="1"/>
  <c r="F62" i="1"/>
  <c r="H64" i="1"/>
  <c r="H63" i="1"/>
  <c r="B22" i="1"/>
  <c r="C22" i="1" s="1"/>
  <c r="B6" i="1"/>
  <c r="C6" i="1" s="1"/>
  <c r="B32" i="1"/>
  <c r="C32" i="1" s="1"/>
  <c r="B31" i="1"/>
  <c r="C31" i="1" s="1"/>
  <c r="B24" i="1"/>
  <c r="C24" i="1" s="1"/>
  <c r="B23" i="1"/>
  <c r="C23" i="1" s="1"/>
  <c r="B48" i="1"/>
  <c r="C48" i="1" s="1"/>
  <c r="B16" i="1"/>
  <c r="C16" i="1" s="1"/>
  <c r="B47" i="1"/>
  <c r="C47" i="1" s="1"/>
  <c r="B15" i="1"/>
  <c r="C15" i="1" s="1"/>
  <c r="B40" i="1"/>
  <c r="C40" i="1" s="1"/>
  <c r="B8" i="1"/>
  <c r="C8" i="1" s="1"/>
  <c r="B39" i="1"/>
  <c r="C39" i="1" s="1"/>
  <c r="B7" i="1"/>
  <c r="C7" i="1" s="1"/>
  <c r="B46" i="1"/>
  <c r="C46" i="1" s="1"/>
  <c r="B30" i="1"/>
  <c r="C30" i="1" s="1"/>
  <c r="B37" i="1"/>
  <c r="C37" i="1" s="1"/>
  <c r="B28" i="1"/>
  <c r="C28" i="1" s="1"/>
  <c r="B38" i="1"/>
  <c r="C38" i="1" s="1"/>
  <c r="B14" i="1"/>
  <c r="C14" i="1" s="1"/>
  <c r="B45" i="1"/>
  <c r="C45" i="1" s="1"/>
  <c r="B29" i="1"/>
  <c r="C29" i="1" s="1"/>
  <c r="B21" i="1"/>
  <c r="C21" i="1" s="1"/>
  <c r="B13" i="1"/>
  <c r="C13" i="1" s="1"/>
  <c r="B5" i="1"/>
  <c r="C5" i="1" s="1"/>
  <c r="B44" i="1"/>
  <c r="C44" i="1" s="1"/>
  <c r="B20" i="1"/>
  <c r="C20" i="1" s="1"/>
  <c r="B4" i="1"/>
  <c r="C4" i="1" s="1"/>
  <c r="B35" i="1"/>
  <c r="C35" i="1" s="1"/>
  <c r="B11" i="1"/>
  <c r="C11" i="1" s="1"/>
  <c r="B42" i="1"/>
  <c r="C42" i="1" s="1"/>
  <c r="B26" i="1"/>
  <c r="C26" i="1" s="1"/>
  <c r="B18" i="1"/>
  <c r="C18" i="1" s="1"/>
  <c r="B10" i="1"/>
  <c r="C10" i="1" s="1"/>
  <c r="B2" i="1"/>
  <c r="C2" i="1" s="1"/>
  <c r="B36" i="1"/>
  <c r="C36" i="1" s="1"/>
  <c r="B12" i="1"/>
  <c r="C12" i="1" s="1"/>
  <c r="B1" i="1"/>
  <c r="C1" i="1" s="1"/>
  <c r="B43" i="1"/>
  <c r="C43" i="1" s="1"/>
  <c r="B27" i="1"/>
  <c r="C27" i="1" s="1"/>
  <c r="B19" i="1"/>
  <c r="C19" i="1" s="1"/>
  <c r="B3" i="1"/>
  <c r="C3" i="1" s="1"/>
  <c r="B50" i="1"/>
  <c r="C50" i="1" s="1"/>
  <c r="B34" i="1"/>
  <c r="C34" i="1" s="1"/>
  <c r="B49" i="1"/>
  <c r="C49" i="1" s="1"/>
  <c r="B41" i="1"/>
  <c r="C41" i="1" s="1"/>
  <c r="B33" i="1"/>
  <c r="C33" i="1" s="1"/>
  <c r="B25" i="1"/>
  <c r="C25" i="1" s="1"/>
  <c r="B17" i="1"/>
  <c r="C17" i="1" s="1"/>
  <c r="Q60" i="2" l="1"/>
  <c r="R60" i="2" s="1"/>
  <c r="H63" i="2"/>
  <c r="H64" i="2"/>
  <c r="F62" i="2"/>
  <c r="Q59" i="2"/>
  <c r="R59" i="2" s="1"/>
  <c r="Q61" i="2"/>
  <c r="R61" i="2" s="1"/>
  <c r="I62" i="1"/>
  <c r="J62" i="1" s="1"/>
  <c r="K62" i="1"/>
  <c r="C55" i="1"/>
  <c r="F63" i="1"/>
  <c r="H65" i="1"/>
  <c r="I64" i="1" s="1"/>
  <c r="J64" i="1" s="1"/>
  <c r="H66" i="1"/>
  <c r="C52" i="1"/>
  <c r="B52" i="1"/>
  <c r="F63" i="2" l="1"/>
  <c r="H66" i="2"/>
  <c r="H65" i="2"/>
  <c r="I64" i="2"/>
  <c r="J64" i="2" s="1"/>
  <c r="I62" i="2"/>
  <c r="J62" i="2" s="1"/>
  <c r="L62" i="1"/>
  <c r="C53" i="1"/>
  <c r="L60" i="1"/>
  <c r="L58" i="1"/>
  <c r="P61" i="1"/>
  <c r="O61" i="1"/>
  <c r="O60" i="1"/>
  <c r="P60" i="1"/>
  <c r="P59" i="1"/>
  <c r="O59" i="1"/>
  <c r="F64" i="1"/>
  <c r="H67" i="1"/>
  <c r="K66" i="1" s="1"/>
  <c r="L66" i="1" s="1"/>
  <c r="H68" i="1"/>
  <c r="K64" i="1"/>
  <c r="L64" i="1" s="1"/>
  <c r="H68" i="2" l="1"/>
  <c r="H67" i="2"/>
  <c r="F64" i="2"/>
  <c r="Q59" i="1"/>
  <c r="Q60" i="1"/>
  <c r="Q61" i="1"/>
  <c r="H69" i="1"/>
  <c r="H70" i="1"/>
  <c r="I66" i="1"/>
  <c r="J66" i="1" s="1"/>
  <c r="I68" i="1"/>
  <c r="J68" i="1" s="1"/>
  <c r="K68" i="1"/>
  <c r="L68" i="1" s="1"/>
  <c r="H70" i="2" l="1"/>
  <c r="H69" i="2"/>
  <c r="I68" i="2"/>
  <c r="J68" i="2" s="1"/>
  <c r="I66" i="2"/>
  <c r="J66" i="2" s="1"/>
  <c r="I70" i="1"/>
  <c r="J70" i="1" s="1"/>
  <c r="J74" i="1" s="1"/>
  <c r="K70" i="1"/>
  <c r="I70" i="2" l="1"/>
  <c r="J70" i="2" s="1"/>
  <c r="J74" i="2" s="1"/>
</calcChain>
</file>

<file path=xl/sharedStrings.xml><?xml version="1.0" encoding="utf-8"?>
<sst xmlns="http://schemas.openxmlformats.org/spreadsheetml/2006/main" count="8" uniqueCount="4">
  <si>
    <t>(t)N</t>
  </si>
  <si>
    <t>t+-a</t>
  </si>
  <si>
    <t>t+-2a</t>
  </si>
  <si>
    <t>t+-3a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</si>
</sst>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65" fontId="1" fillId="0" borderId="0" xfId="0" applyNumberFormat="1" applyFont="1"/>
    <xf numFmtId="164" fontId="1" fillId="0" borderId="0" xfId="0" applyNumberFormat="1" applyFont="1"/>
    <xf numFmtId="0" fontId="1" fillId="0" borderId="0" xfId="0" applyFont="1"/>
    <xf numFmtId="2" fontId="1" fillId="0" borderId="0" xfId="0" applyNumberFormat="1" applyFont="1"/>
    <xf numFmtId="165" fontId="1" fillId="0" borderId="1" xfId="0" applyNumberFormat="1" applyFont="1" applyBorder="1"/>
    <xf numFmtId="165" fontId="1" fillId="0" borderId="2" xfId="0" applyNumberFormat="1" applyFont="1" applyBorder="1"/>
    <xf numFmtId="166" fontId="1" fillId="0" borderId="0" xfId="0" applyNumberFormat="1" applyFont="1"/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65" fontId="1" fillId="0" borderId="3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5" fontId="1" fillId="0" borderId="2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65" fontId="1" fillId="0" borderId="4" xfId="0" applyNumberFormat="1" applyFont="1" applyBorder="1" applyAlignment="1">
      <alignment horizontal="center"/>
    </xf>
    <xf numFmtId="165" fontId="1" fillId="0" borderId="5" xfId="0" applyNumberFormat="1" applyFont="1" applyBorder="1" applyAlignment="1">
      <alignment horizontal="center"/>
    </xf>
    <xf numFmtId="165" fontId="1" fillId="0" borderId="6" xfId="0" applyNumberFormat="1" applyFont="1" applyBorder="1" applyAlignment="1">
      <alignment horizontal="center"/>
    </xf>
    <xf numFmtId="165" fontId="1" fillId="0" borderId="4" xfId="0" applyNumberFormat="1" applyFont="1" applyBorder="1" applyAlignment="1"/>
    <xf numFmtId="165" fontId="1" fillId="0" borderId="6" xfId="0" applyNumberFormat="1" applyFont="1" applyBorder="1" applyAlignment="1"/>
    <xf numFmtId="165" fontId="1" fillId="0" borderId="1" xfId="0" applyNumberFormat="1" applyFont="1" applyBorder="1" applyAlignme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4"/>
  <sheetViews>
    <sheetView topLeftCell="A46" zoomScaleNormal="100" workbookViewId="0">
      <selection activeCell="L70" sqref="L70:L71"/>
    </sheetView>
  </sheetViews>
  <sheetFormatPr defaultRowHeight="15" x14ac:dyDescent="0.2"/>
  <cols>
    <col min="1" max="1" width="12.140625" style="4" bestFit="1" customWidth="1"/>
    <col min="2" max="2" width="14.140625" style="3" customWidth="1"/>
    <col min="3" max="3" width="17.5703125" style="3" customWidth="1"/>
    <col min="4" max="5" width="9.140625" style="3"/>
    <col min="6" max="6" width="8.28515625" style="3" bestFit="1" customWidth="1"/>
    <col min="7" max="7" width="9.140625" style="3"/>
    <col min="8" max="8" width="11" style="3" customWidth="1"/>
    <col min="9" max="11" width="9.28515625" style="3" bestFit="1" customWidth="1"/>
    <col min="12" max="12" width="15.85546875" style="3" bestFit="1" customWidth="1"/>
    <col min="13" max="13" width="9.28515625" style="3" bestFit="1" customWidth="1"/>
    <col min="14" max="14" width="9.140625" style="3"/>
    <col min="15" max="16" width="7.28515625" style="3" customWidth="1"/>
    <col min="17" max="18" width="9.28515625" style="3" bestFit="1" customWidth="1"/>
    <col min="19" max="16384" width="9.140625" style="3"/>
  </cols>
  <sheetData>
    <row r="1" spans="1:3" x14ac:dyDescent="0.2">
      <c r="A1" s="1">
        <v>0.20100000000000001</v>
      </c>
      <c r="B1" s="1">
        <f>A1-$A$52</f>
        <v>5.3199999999999914E-3</v>
      </c>
      <c r="C1" s="2">
        <f>B1*B1</f>
        <v>2.8302399999999907E-5</v>
      </c>
    </row>
    <row r="2" spans="1:3" x14ac:dyDescent="0.2">
      <c r="A2" s="1">
        <v>0.19500000000000001</v>
      </c>
      <c r="B2" s="1">
        <f t="shared" ref="B2:B50" si="0">A2-$A$52</f>
        <v>-6.8000000000001393E-4</v>
      </c>
      <c r="C2" s="2">
        <f t="shared" ref="C2:C50" si="1">B2*B2</f>
        <v>4.6240000000001896E-7</v>
      </c>
    </row>
    <row r="3" spans="1:3" x14ac:dyDescent="0.2">
      <c r="A3" s="1">
        <v>0.24099999999999999</v>
      </c>
      <c r="B3" s="1">
        <f t="shared" si="0"/>
        <v>4.5319999999999971E-2</v>
      </c>
      <c r="C3" s="2">
        <f t="shared" si="1"/>
        <v>2.0539023999999973E-3</v>
      </c>
    </row>
    <row r="4" spans="1:3" x14ac:dyDescent="0.2">
      <c r="A4" s="1">
        <v>0.186</v>
      </c>
      <c r="B4" s="1">
        <f t="shared" si="0"/>
        <v>-9.6800000000000219E-3</v>
      </c>
      <c r="C4" s="2">
        <f t="shared" si="1"/>
        <v>9.3702400000000426E-5</v>
      </c>
    </row>
    <row r="5" spans="1:3" x14ac:dyDescent="0.2">
      <c r="A5" s="1">
        <v>0.19500000000000001</v>
      </c>
      <c r="B5" s="1">
        <f t="shared" si="0"/>
        <v>-6.8000000000001393E-4</v>
      </c>
      <c r="C5" s="2">
        <f t="shared" si="1"/>
        <v>4.6240000000001896E-7</v>
      </c>
    </row>
    <row r="6" spans="1:3" x14ac:dyDescent="0.2">
      <c r="A6" s="1">
        <v>0.252</v>
      </c>
      <c r="B6" s="1">
        <f t="shared" si="0"/>
        <v>5.6319999999999981E-2</v>
      </c>
      <c r="C6" s="2">
        <f t="shared" si="1"/>
        <v>3.171942399999998E-3</v>
      </c>
    </row>
    <row r="7" spans="1:3" x14ac:dyDescent="0.2">
      <c r="A7" s="1">
        <v>0.20899999999999999</v>
      </c>
      <c r="B7" s="1">
        <f t="shared" si="0"/>
        <v>1.3319999999999971E-2</v>
      </c>
      <c r="C7" s="2">
        <f t="shared" si="1"/>
        <v>1.7742239999999921E-4</v>
      </c>
    </row>
    <row r="8" spans="1:3" x14ac:dyDescent="0.2">
      <c r="A8" s="1">
        <v>0.19900000000000001</v>
      </c>
      <c r="B8" s="1">
        <f t="shared" si="0"/>
        <v>3.3199999999999896E-3</v>
      </c>
      <c r="C8" s="2">
        <f t="shared" si="1"/>
        <v>1.1022399999999932E-5</v>
      </c>
    </row>
    <row r="9" spans="1:3" x14ac:dyDescent="0.2">
      <c r="A9" s="1">
        <v>0.193</v>
      </c>
      <c r="B9" s="1">
        <f t="shared" si="0"/>
        <v>-2.6800000000000157E-3</v>
      </c>
      <c r="C9" s="2">
        <f t="shared" si="1"/>
        <v>7.1824000000000839E-6</v>
      </c>
    </row>
    <row r="10" spans="1:3" x14ac:dyDescent="0.2">
      <c r="A10" s="1">
        <v>0.224</v>
      </c>
      <c r="B10" s="1">
        <f t="shared" si="0"/>
        <v>2.8319999999999984E-2</v>
      </c>
      <c r="C10" s="2">
        <f t="shared" si="1"/>
        <v>8.0202239999999905E-4</v>
      </c>
    </row>
    <row r="11" spans="1:3" x14ac:dyDescent="0.2">
      <c r="A11" s="1">
        <v>0.217</v>
      </c>
      <c r="B11" s="1">
        <f t="shared" si="0"/>
        <v>2.1319999999999978E-2</v>
      </c>
      <c r="C11" s="2">
        <f t="shared" si="1"/>
        <v>4.5454239999999905E-4</v>
      </c>
    </row>
    <row r="12" spans="1:3" x14ac:dyDescent="0.2">
      <c r="A12" s="1">
        <v>0.20499999999999999</v>
      </c>
      <c r="B12" s="1">
        <f t="shared" si="0"/>
        <v>9.3199999999999672E-3</v>
      </c>
      <c r="C12" s="2">
        <f t="shared" si="1"/>
        <v>8.6862399999999387E-5</v>
      </c>
    </row>
    <row r="13" spans="1:3" x14ac:dyDescent="0.2">
      <c r="A13" s="1">
        <v>0.16900000000000001</v>
      </c>
      <c r="B13" s="1">
        <f t="shared" si="0"/>
        <v>-2.6680000000000009E-2</v>
      </c>
      <c r="C13" s="2">
        <f t="shared" si="1"/>
        <v>7.1182240000000055E-4</v>
      </c>
    </row>
    <row r="14" spans="1:3" x14ac:dyDescent="0.2">
      <c r="A14" s="1">
        <v>0.187</v>
      </c>
      <c r="B14" s="1">
        <f t="shared" si="0"/>
        <v>-8.680000000000021E-3</v>
      </c>
      <c r="C14" s="2">
        <f t="shared" si="1"/>
        <v>7.5342400000000365E-5</v>
      </c>
    </row>
    <row r="15" spans="1:3" x14ac:dyDescent="0.2">
      <c r="A15" s="1">
        <v>0.182</v>
      </c>
      <c r="B15" s="1">
        <f t="shared" si="0"/>
        <v>-1.3680000000000025E-2</v>
      </c>
      <c r="C15" s="2">
        <f t="shared" si="1"/>
        <v>1.8714240000000068E-4</v>
      </c>
    </row>
    <row r="16" spans="1:3" x14ac:dyDescent="0.2">
      <c r="A16" s="1">
        <v>0.17</v>
      </c>
      <c r="B16" s="1">
        <f t="shared" si="0"/>
        <v>-2.5680000000000008E-2</v>
      </c>
      <c r="C16" s="2">
        <f t="shared" si="1"/>
        <v>6.5946240000000044E-4</v>
      </c>
    </row>
    <row r="17" spans="1:3" x14ac:dyDescent="0.2">
      <c r="A17" s="1">
        <v>0.19</v>
      </c>
      <c r="B17" s="1">
        <f t="shared" si="0"/>
        <v>-5.6800000000000184E-3</v>
      </c>
      <c r="C17" s="2">
        <f t="shared" si="1"/>
        <v>3.2262400000000208E-5</v>
      </c>
    </row>
    <row r="18" spans="1:3" x14ac:dyDescent="0.2">
      <c r="A18" s="1">
        <v>0.188</v>
      </c>
      <c r="B18" s="1">
        <f t="shared" si="0"/>
        <v>-7.6800000000000201E-3</v>
      </c>
      <c r="C18" s="2">
        <f t="shared" si="1"/>
        <v>5.8982400000000311E-5</v>
      </c>
    </row>
    <row r="19" spans="1:3" x14ac:dyDescent="0.2">
      <c r="A19" s="1">
        <v>0.20699999999999999</v>
      </c>
      <c r="B19" s="1">
        <f t="shared" si="0"/>
        <v>1.1319999999999969E-2</v>
      </c>
      <c r="C19" s="2">
        <f t="shared" si="1"/>
        <v>1.281423999999993E-4</v>
      </c>
    </row>
    <row r="20" spans="1:3" x14ac:dyDescent="0.2">
      <c r="A20" s="1">
        <v>0.223</v>
      </c>
      <c r="B20" s="1">
        <f t="shared" si="0"/>
        <v>2.7319999999999983E-2</v>
      </c>
      <c r="C20" s="2">
        <f t="shared" si="1"/>
        <v>7.4638239999999913E-4</v>
      </c>
    </row>
    <row r="21" spans="1:3" x14ac:dyDescent="0.2">
      <c r="A21" s="1">
        <v>0.18099999999999999</v>
      </c>
      <c r="B21" s="1">
        <f t="shared" si="0"/>
        <v>-1.4680000000000026E-2</v>
      </c>
      <c r="C21" s="2">
        <f t="shared" si="1"/>
        <v>2.1550240000000077E-4</v>
      </c>
    </row>
    <row r="22" spans="1:3" x14ac:dyDescent="0.2">
      <c r="A22" s="1">
        <v>0.19700000000000001</v>
      </c>
      <c r="B22" s="1">
        <f>A22-$A$52</f>
        <v>1.3199999999999878E-3</v>
      </c>
      <c r="C22" s="2">
        <f t="shared" si="1"/>
        <v>1.7423999999999679E-6</v>
      </c>
    </row>
    <row r="23" spans="1:3" x14ac:dyDescent="0.2">
      <c r="A23" s="1">
        <v>0.23599999999999999</v>
      </c>
      <c r="B23" s="1">
        <f t="shared" si="0"/>
        <v>4.0319999999999967E-2</v>
      </c>
      <c r="C23" s="2">
        <f t="shared" si="1"/>
        <v>1.6257023999999972E-3</v>
      </c>
    </row>
    <row r="24" spans="1:3" x14ac:dyDescent="0.2">
      <c r="A24" s="1">
        <v>0.17499999999999999</v>
      </c>
      <c r="B24" s="1">
        <f t="shared" si="0"/>
        <v>-2.0680000000000032E-2</v>
      </c>
      <c r="C24" s="2">
        <f t="shared" si="1"/>
        <v>4.2766240000000131E-4</v>
      </c>
    </row>
    <row r="25" spans="1:3" x14ac:dyDescent="0.2">
      <c r="A25" s="1">
        <v>0.184</v>
      </c>
      <c r="B25" s="1">
        <f t="shared" si="0"/>
        <v>-1.1680000000000024E-2</v>
      </c>
      <c r="C25" s="2">
        <f t="shared" si="1"/>
        <v>1.3642240000000055E-4</v>
      </c>
    </row>
    <row r="26" spans="1:3" x14ac:dyDescent="0.2">
      <c r="A26" s="1">
        <v>0.2</v>
      </c>
      <c r="B26" s="1">
        <f t="shared" si="0"/>
        <v>4.3199999999999905E-3</v>
      </c>
      <c r="C26" s="2">
        <f t="shared" si="1"/>
        <v>1.8662399999999918E-5</v>
      </c>
    </row>
    <row r="27" spans="1:3" x14ac:dyDescent="0.2">
      <c r="A27" s="1">
        <v>0.21</v>
      </c>
      <c r="B27" s="1">
        <f t="shared" si="0"/>
        <v>1.4319999999999972E-2</v>
      </c>
      <c r="C27" s="2">
        <f t="shared" si="1"/>
        <v>2.0506239999999918E-4</v>
      </c>
    </row>
    <row r="28" spans="1:3" x14ac:dyDescent="0.2">
      <c r="A28" s="1">
        <v>0.20200000000000001</v>
      </c>
      <c r="B28" s="1">
        <f t="shared" si="0"/>
        <v>6.3199999999999923E-3</v>
      </c>
      <c r="C28" s="2">
        <f t="shared" si="1"/>
        <v>3.9942399999999904E-5</v>
      </c>
    </row>
    <row r="29" spans="1:3" x14ac:dyDescent="0.2">
      <c r="A29" s="1">
        <v>0.193</v>
      </c>
      <c r="B29" s="1">
        <f t="shared" si="0"/>
        <v>-2.6800000000000157E-3</v>
      </c>
      <c r="C29" s="2">
        <f t="shared" si="1"/>
        <v>7.1824000000000839E-6</v>
      </c>
    </row>
    <row r="30" spans="1:3" x14ac:dyDescent="0.2">
      <c r="A30" s="1">
        <v>0.17899999999999999</v>
      </c>
      <c r="B30" s="1">
        <f t="shared" si="0"/>
        <v>-1.6680000000000028E-2</v>
      </c>
      <c r="C30" s="2">
        <f t="shared" si="1"/>
        <v>2.7822240000000096E-4</v>
      </c>
    </row>
    <row r="31" spans="1:3" x14ac:dyDescent="0.2">
      <c r="A31" s="1">
        <v>0.216</v>
      </c>
      <c r="B31" s="1">
        <f t="shared" si="0"/>
        <v>2.0319999999999977E-2</v>
      </c>
      <c r="C31" s="2">
        <f t="shared" si="1"/>
        <v>4.1290239999999909E-4</v>
      </c>
    </row>
    <row r="32" spans="1:3" x14ac:dyDescent="0.2">
      <c r="A32" s="1">
        <v>0.191</v>
      </c>
      <c r="B32" s="1">
        <f t="shared" si="0"/>
        <v>-4.6800000000000175E-3</v>
      </c>
      <c r="C32" s="2">
        <f t="shared" si="1"/>
        <v>2.1902400000000165E-5</v>
      </c>
    </row>
    <row r="33" spans="1:3" x14ac:dyDescent="0.2">
      <c r="A33" s="1">
        <v>0.187</v>
      </c>
      <c r="B33" s="1">
        <f t="shared" si="0"/>
        <v>-8.680000000000021E-3</v>
      </c>
      <c r="C33" s="2">
        <f t="shared" si="1"/>
        <v>7.5342400000000365E-5</v>
      </c>
    </row>
    <row r="34" spans="1:3" x14ac:dyDescent="0.2">
      <c r="A34" s="1">
        <v>0.22600000000000001</v>
      </c>
      <c r="B34" s="1">
        <f t="shared" si="0"/>
        <v>3.0319999999999986E-2</v>
      </c>
      <c r="C34" s="2">
        <f t="shared" si="1"/>
        <v>9.1930239999999915E-4</v>
      </c>
    </row>
    <row r="35" spans="1:3" x14ac:dyDescent="0.2">
      <c r="A35" s="1">
        <v>0.17799999999999999</v>
      </c>
      <c r="B35" s="1">
        <f t="shared" si="0"/>
        <v>-1.7680000000000029E-2</v>
      </c>
      <c r="C35" s="2">
        <f t="shared" si="1"/>
        <v>3.12582400000001E-4</v>
      </c>
    </row>
    <row r="36" spans="1:3" x14ac:dyDescent="0.2">
      <c r="A36" s="1">
        <v>0.19700000000000001</v>
      </c>
      <c r="B36" s="1">
        <f t="shared" si="0"/>
        <v>1.3199999999999878E-3</v>
      </c>
      <c r="C36" s="2">
        <f t="shared" si="1"/>
        <v>1.7423999999999679E-6</v>
      </c>
    </row>
    <row r="37" spans="1:3" x14ac:dyDescent="0.2">
      <c r="A37" s="1">
        <v>0.218</v>
      </c>
      <c r="B37" s="1">
        <f t="shared" si="0"/>
        <v>2.2319999999999979E-2</v>
      </c>
      <c r="C37" s="2">
        <f t="shared" si="1"/>
        <v>4.9818239999999906E-4</v>
      </c>
    </row>
    <row r="38" spans="1:3" x14ac:dyDescent="0.2">
      <c r="A38" s="1">
        <v>0.19</v>
      </c>
      <c r="B38" s="1">
        <f t="shared" si="0"/>
        <v>-5.6800000000000184E-3</v>
      </c>
      <c r="C38" s="2">
        <f t="shared" si="1"/>
        <v>3.2262400000000208E-5</v>
      </c>
    </row>
    <row r="39" spans="1:3" x14ac:dyDescent="0.2">
      <c r="A39" s="1">
        <v>0.183</v>
      </c>
      <c r="B39" s="1">
        <f t="shared" si="0"/>
        <v>-1.2680000000000025E-2</v>
      </c>
      <c r="C39" s="2">
        <f t="shared" si="1"/>
        <v>1.6078240000000062E-4</v>
      </c>
    </row>
    <row r="40" spans="1:3" x14ac:dyDescent="0.2">
      <c r="A40" s="1">
        <v>0.223</v>
      </c>
      <c r="B40" s="1">
        <f t="shared" si="0"/>
        <v>2.7319999999999983E-2</v>
      </c>
      <c r="C40" s="2">
        <f t="shared" si="1"/>
        <v>7.4638239999999913E-4</v>
      </c>
    </row>
    <row r="41" spans="1:3" x14ac:dyDescent="0.2">
      <c r="A41" s="1">
        <v>0.155</v>
      </c>
      <c r="B41" s="1">
        <f t="shared" si="0"/>
        <v>-4.0680000000000022E-2</v>
      </c>
      <c r="C41" s="2">
        <f t="shared" si="1"/>
        <v>1.6548624000000019E-3</v>
      </c>
    </row>
    <row r="42" spans="1:3" x14ac:dyDescent="0.2">
      <c r="A42" s="1">
        <v>0.159</v>
      </c>
      <c r="B42" s="1">
        <f t="shared" si="0"/>
        <v>-3.6680000000000018E-2</v>
      </c>
      <c r="C42" s="2">
        <f t="shared" si="1"/>
        <v>1.3454224000000014E-3</v>
      </c>
    </row>
    <row r="43" spans="1:3" x14ac:dyDescent="0.2">
      <c r="A43" s="1">
        <v>0.19400000000000001</v>
      </c>
      <c r="B43" s="1">
        <f t="shared" si="0"/>
        <v>-1.6800000000000148E-3</v>
      </c>
      <c r="C43" s="2">
        <f t="shared" si="1"/>
        <v>2.8224000000000498E-6</v>
      </c>
    </row>
    <row r="44" spans="1:3" x14ac:dyDescent="0.2">
      <c r="A44" s="1">
        <v>0.16500000000000001</v>
      </c>
      <c r="B44" s="1">
        <f t="shared" si="0"/>
        <v>-3.0680000000000013E-2</v>
      </c>
      <c r="C44" s="2">
        <f t="shared" si="1"/>
        <v>9.4126240000000079E-4</v>
      </c>
    </row>
    <row r="45" spans="1:3" x14ac:dyDescent="0.2">
      <c r="A45" s="1">
        <v>0.161</v>
      </c>
      <c r="B45" s="1">
        <f t="shared" si="0"/>
        <v>-3.4680000000000016E-2</v>
      </c>
      <c r="C45" s="2">
        <f t="shared" si="1"/>
        <v>1.2027024000000012E-3</v>
      </c>
    </row>
    <row r="46" spans="1:3" x14ac:dyDescent="0.2">
      <c r="A46" s="1">
        <v>0.16800000000000001</v>
      </c>
      <c r="B46" s="1">
        <f t="shared" si="0"/>
        <v>-2.768000000000001E-2</v>
      </c>
      <c r="C46" s="2">
        <f t="shared" si="1"/>
        <v>7.6618240000000059E-4</v>
      </c>
    </row>
    <row r="47" spans="1:3" x14ac:dyDescent="0.2">
      <c r="A47" s="1">
        <v>0.191</v>
      </c>
      <c r="B47" s="1">
        <f t="shared" si="0"/>
        <v>-4.6800000000000175E-3</v>
      </c>
      <c r="C47" s="2">
        <f t="shared" si="1"/>
        <v>2.1902400000000165E-5</v>
      </c>
    </row>
    <row r="48" spans="1:3" x14ac:dyDescent="0.2">
      <c r="A48" s="1">
        <v>0.17299999999999999</v>
      </c>
      <c r="B48" s="1">
        <f t="shared" si="0"/>
        <v>-2.2680000000000033E-2</v>
      </c>
      <c r="C48" s="2">
        <f t="shared" si="1"/>
        <v>5.1438240000000151E-4</v>
      </c>
    </row>
    <row r="49" spans="1:19" x14ac:dyDescent="0.2">
      <c r="A49" s="1">
        <v>0.22800000000000001</v>
      </c>
      <c r="B49" s="1">
        <f t="shared" si="0"/>
        <v>3.2319999999999988E-2</v>
      </c>
      <c r="C49" s="2">
        <f t="shared" si="1"/>
        <v>1.0445823999999991E-3</v>
      </c>
    </row>
    <row r="50" spans="1:19" x14ac:dyDescent="0.2">
      <c r="A50" s="1">
        <v>0.191</v>
      </c>
      <c r="B50" s="1">
        <f t="shared" si="0"/>
        <v>-4.6800000000000175E-3</v>
      </c>
      <c r="C50" s="2">
        <f t="shared" si="1"/>
        <v>2.1902400000000165E-5</v>
      </c>
    </row>
    <row r="52" spans="1:19" x14ac:dyDescent="0.2">
      <c r="A52" s="2">
        <f>SUM(A1:A50) / 50</f>
        <v>0.19568000000000002</v>
      </c>
      <c r="B52" s="2">
        <f>SUM(B1:B50)</f>
        <v>-9.7144514654701197E-16</v>
      </c>
      <c r="C52" s="3">
        <f>SQRT( SUM(C1:C50) * 1/49)</f>
        <v>2.1731609630739668E-2</v>
      </c>
    </row>
    <row r="53" spans="1:19" x14ac:dyDescent="0.2">
      <c r="A53" s="4" t="s">
        <v>0</v>
      </c>
      <c r="C53" s="3">
        <f>1/(C52*SQRT(PI() * 2))</f>
        <v>18.357695871599095</v>
      </c>
    </row>
    <row r="55" spans="1:19" x14ac:dyDescent="0.2">
      <c r="C55" s="3">
        <f>SQRT(SUM(C1:C50) * 1/(50*49))</f>
        <v>3.0733137071989806E-3</v>
      </c>
    </row>
    <row r="57" spans="1:19" ht="15.75" thickBot="1" x14ac:dyDescent="0.25">
      <c r="A57" s="7">
        <f>MIN(A1:A50)</f>
        <v>0.155</v>
      </c>
      <c r="K57" s="3">
        <v>0.155</v>
      </c>
      <c r="L57" s="3">
        <f xml:space="preserve"> (1/($C$52*SQRT(2*PI()))) * EXP(-((K57-$A$52)^2/(2*$C$52*$C$52)))</f>
        <v>3.183535584693264</v>
      </c>
    </row>
    <row r="58" spans="1:19" x14ac:dyDescent="0.2">
      <c r="A58" s="7">
        <f>MAX(A1:A50)</f>
        <v>0.252</v>
      </c>
      <c r="F58" s="1">
        <f>A57</f>
        <v>0.155</v>
      </c>
      <c r="H58" s="5">
        <f>F58</f>
        <v>0.155</v>
      </c>
      <c r="I58" s="13">
        <f>COUNTIFS($A$1:$A$50, "&gt;="&amp;H58,$A$1:$A$50, "&lt;="&amp;H59)</f>
        <v>6</v>
      </c>
      <c r="J58" s="11">
        <f>I58/(50*$C$60)</f>
        <v>8.5714285714285712</v>
      </c>
      <c r="K58" s="15">
        <f>(H58+H59)/2</f>
        <v>0.16200000000000001</v>
      </c>
      <c r="L58" s="11">
        <f xml:space="preserve"> (1/($C$52*SQRT(2*PI()))) * EXP(-((K58-$A$52)^2/(2*$C$52*$C$52)))</f>
        <v>5.5238981637924249</v>
      </c>
    </row>
    <row r="59" spans="1:19" ht="15.75" thickBot="1" x14ac:dyDescent="0.25">
      <c r="B59" s="1">
        <f>A58-A57</f>
        <v>9.7000000000000003E-2</v>
      </c>
      <c r="C59" s="3">
        <f>B59/7</f>
        <v>1.3857142857142858E-2</v>
      </c>
      <c r="F59" s="1">
        <f>F58+C$60</f>
        <v>0.16900000000000001</v>
      </c>
      <c r="H59" s="6">
        <f>F$59</f>
        <v>0.16900000000000001</v>
      </c>
      <c r="I59" s="8"/>
      <c r="J59" s="10"/>
      <c r="K59" s="14"/>
      <c r="L59" s="10"/>
      <c r="M59" s="3">
        <v>1</v>
      </c>
      <c r="N59" s="3" t="s">
        <v>1</v>
      </c>
      <c r="O59" s="1">
        <f>$A$52-M59*$C$52</f>
        <v>0.17394839036926035</v>
      </c>
      <c r="P59" s="1">
        <f>$A$52+M59*$C$52</f>
        <v>0.21741160963073969</v>
      </c>
      <c r="Q59" s="1">
        <f>COUNTIFS($A$1:$A$50, "&gt;="&amp;$O59, $A$1:$A$50, "&lt;="&amp;$P59)</f>
        <v>33</v>
      </c>
      <c r="R59" s="3">
        <f>Q59/50</f>
        <v>0.66</v>
      </c>
      <c r="S59" s="1"/>
    </row>
    <row r="60" spans="1:19" x14ac:dyDescent="0.2">
      <c r="C60" s="3">
        <f>ROUND(C59, 3)</f>
        <v>1.4E-2</v>
      </c>
      <c r="F60" s="1">
        <f t="shared" ref="F60:F64" si="2">F59+C$60</f>
        <v>0.18300000000000002</v>
      </c>
      <c r="H60" s="5">
        <f>F$59</f>
        <v>0.16900000000000001</v>
      </c>
      <c r="I60" s="8">
        <f>COUNTIFS($A$1:$A$50, "&gt;="&amp;H60,$A$1:$A$50, "&lt;="&amp;H61)</f>
        <v>9</v>
      </c>
      <c r="J60" s="10">
        <f t="shared" ref="J60" si="3">I60/(50*$C$60)</f>
        <v>12.857142857142856</v>
      </c>
      <c r="K60" s="14">
        <f t="shared" ref="K60" si="4">(H60+H61)/2</f>
        <v>0.17600000000000002</v>
      </c>
      <c r="L60" s="10">
        <f t="shared" ref="L60" si="5" xml:space="preserve"> (1/($C$52*SQRT(2*PI()))) * EXP(-((K60-$A$52)^2/(2*$C$52*$C$52)))</f>
        <v>12.182485079069643</v>
      </c>
      <c r="M60" s="3">
        <v>2</v>
      </c>
      <c r="N60" s="3" t="s">
        <v>2</v>
      </c>
      <c r="O60" s="1">
        <f t="shared" ref="O60" si="6">$A$52-M60*$C$52</f>
        <v>0.15221678073852069</v>
      </c>
      <c r="P60" s="1">
        <f t="shared" ref="P60:P61" si="7">$A$52+M60*$C$52</f>
        <v>0.23914321926147936</v>
      </c>
      <c r="Q60" s="1">
        <f>COUNTIFS($A$1:$A$50, "&gt;="&amp;$O60, $A$1:$A$50, "&lt;="&amp;$P60)</f>
        <v>48</v>
      </c>
      <c r="R60" s="3">
        <f t="shared" ref="R60:R61" si="8">Q60/50</f>
        <v>0.96</v>
      </c>
      <c r="S60" s="1"/>
    </row>
    <row r="61" spans="1:19" ht="15.75" thickBot="1" x14ac:dyDescent="0.25">
      <c r="F61" s="1">
        <f t="shared" si="2"/>
        <v>0.19700000000000004</v>
      </c>
      <c r="H61" s="6">
        <f>F60</f>
        <v>0.18300000000000002</v>
      </c>
      <c r="I61" s="8"/>
      <c r="J61" s="10"/>
      <c r="K61" s="14"/>
      <c r="L61" s="10"/>
      <c r="M61" s="3">
        <v>3</v>
      </c>
      <c r="N61" s="3" t="s">
        <v>3</v>
      </c>
      <c r="O61" s="1">
        <f>$A$52-M61*$C$52</f>
        <v>0.13048517110778102</v>
      </c>
      <c r="P61" s="1">
        <f t="shared" si="7"/>
        <v>0.26087482889221902</v>
      </c>
      <c r="Q61" s="1">
        <f>COUNTIFS($A$1:$A$50, "&gt;="&amp;$O61, $A$1:$A$50, "&lt;="&amp;$P61)</f>
        <v>50</v>
      </c>
      <c r="R61" s="3">
        <f t="shared" si="8"/>
        <v>1</v>
      </c>
      <c r="S61" s="1"/>
    </row>
    <row r="62" spans="1:19" x14ac:dyDescent="0.2">
      <c r="F62" s="1">
        <f t="shared" si="2"/>
        <v>0.21100000000000005</v>
      </c>
      <c r="H62" s="5">
        <f>F60</f>
        <v>0.18300000000000002</v>
      </c>
      <c r="I62" s="8">
        <f t="shared" ref="I62" si="9">COUNTIFS($A$1:$A$50, "&gt;="&amp;H62,$A$1:$A$50, "&lt;="&amp;H63)</f>
        <v>18</v>
      </c>
      <c r="J62" s="10">
        <f t="shared" ref="J62" si="10">I62/(50*$C$60)</f>
        <v>25.714285714285712</v>
      </c>
      <c r="K62" s="14">
        <f t="shared" ref="K62" si="11">(H62+H63)/2</f>
        <v>0.19000000000000003</v>
      </c>
      <c r="L62" s="10">
        <f xml:space="preserve"> (1/($C$52*SQRT(2*PI()))) * EXP(-((K62-$A$52)^2/(2*$C$52*$C$52)))</f>
        <v>17.74123570954108</v>
      </c>
    </row>
    <row r="63" spans="1:19" ht="15.75" thickBot="1" x14ac:dyDescent="0.25">
      <c r="F63" s="1">
        <f t="shared" si="2"/>
        <v>0.22500000000000006</v>
      </c>
      <c r="H63" s="6">
        <f>F61</f>
        <v>0.19700000000000004</v>
      </c>
      <c r="I63" s="8"/>
      <c r="J63" s="10"/>
      <c r="K63" s="14"/>
      <c r="L63" s="10"/>
    </row>
    <row r="64" spans="1:19" x14ac:dyDescent="0.2">
      <c r="F64" s="1">
        <f t="shared" si="2"/>
        <v>0.23900000000000007</v>
      </c>
      <c r="H64" s="5">
        <f>F61</f>
        <v>0.19700000000000004</v>
      </c>
      <c r="I64" s="8">
        <f t="shared" ref="I64" si="12">COUNTIFS($A$1:$A$50, "&gt;="&amp;H64,$A$1:$A$50, "&lt;="&amp;H65)</f>
        <v>10</v>
      </c>
      <c r="J64" s="10">
        <f t="shared" ref="J64" si="13">I64/(50*$C$60)</f>
        <v>14.285714285714285</v>
      </c>
      <c r="K64" s="14">
        <f t="shared" ref="K64" si="14">(H64+H65)/2</f>
        <v>0.20400000000000004</v>
      </c>
      <c r="L64" s="10">
        <f t="shared" ref="L64" si="15" xml:space="preserve"> (1/($C$52*SQRT(2*PI()))) * EXP(-((K64-$A$52)^2/(2*$C$52*$C$52)))</f>
        <v>17.060415222329461</v>
      </c>
    </row>
    <row r="65" spans="6:12" ht="15.75" thickBot="1" x14ac:dyDescent="0.25">
      <c r="F65" s="1">
        <v>0.252</v>
      </c>
      <c r="H65" s="6">
        <f>F62</f>
        <v>0.21100000000000005</v>
      </c>
      <c r="I65" s="8"/>
      <c r="J65" s="10"/>
      <c r="K65" s="14"/>
      <c r="L65" s="10"/>
    </row>
    <row r="66" spans="6:12" x14ac:dyDescent="0.2">
      <c r="H66" s="5">
        <f>F62</f>
        <v>0.21100000000000005</v>
      </c>
      <c r="I66" s="8">
        <f t="shared" ref="I66" si="16">COUNTIFS($A$1:$A$50, "&gt;="&amp;H66,$A$1:$A$50, "&lt;="&amp;H67)</f>
        <v>6</v>
      </c>
      <c r="J66" s="10">
        <f t="shared" ref="J66" si="17">I66/(50*$C$60)</f>
        <v>8.5714285714285712</v>
      </c>
      <c r="K66" s="14">
        <f t="shared" ref="K66" si="18">(H66+H67)/2</f>
        <v>0.21800000000000005</v>
      </c>
      <c r="L66" s="10">
        <f t="shared" ref="L66" si="19" xml:space="preserve"> (1/($C$52*SQRT(2*PI()))) * EXP(-((K66-$A$52)^2/(2*$C$52*$C$52)))</f>
        <v>10.833108208114236</v>
      </c>
    </row>
    <row r="67" spans="6:12" ht="15.75" thickBot="1" x14ac:dyDescent="0.25">
      <c r="H67" s="6">
        <f>F63</f>
        <v>0.22500000000000006</v>
      </c>
      <c r="I67" s="8"/>
      <c r="J67" s="10"/>
      <c r="K67" s="14"/>
      <c r="L67" s="10"/>
    </row>
    <row r="68" spans="6:12" x14ac:dyDescent="0.2">
      <c r="H68" s="5">
        <f>F63</f>
        <v>0.22500000000000006</v>
      </c>
      <c r="I68" s="8">
        <f t="shared" ref="I68" si="20">COUNTIFS($A$1:$A$50, "&gt;="&amp;H68,$A$1:$A$50, "&lt;="&amp;H69)</f>
        <v>3</v>
      </c>
      <c r="J68" s="10">
        <f t="shared" ref="J68" si="21">I68/(50*$C$60)</f>
        <v>4.2857142857142856</v>
      </c>
      <c r="K68" s="14">
        <f t="shared" ref="K68" si="22">(H68+H69)/2</f>
        <v>0.23200000000000007</v>
      </c>
      <c r="L68" s="10">
        <f t="shared" ref="L68" si="23" xml:space="preserve"> (1/($C$52*SQRT(2*PI()))) * EXP(-((K68-$A$52)^2/(2*$C$52*$C$52)))</f>
        <v>4.5422843577067518</v>
      </c>
    </row>
    <row r="69" spans="6:12" ht="15.75" thickBot="1" x14ac:dyDescent="0.25">
      <c r="H69" s="6">
        <f>F64</f>
        <v>0.23900000000000007</v>
      </c>
      <c r="I69" s="8"/>
      <c r="J69" s="10"/>
      <c r="K69" s="14"/>
      <c r="L69" s="10"/>
    </row>
    <row r="70" spans="6:12" x14ac:dyDescent="0.2">
      <c r="H70" s="5">
        <f>F64</f>
        <v>0.23900000000000007</v>
      </c>
      <c r="I70" s="8">
        <f t="shared" ref="I70" si="24">COUNTIFS($A$1:$A$50, "&gt;="&amp;H70,$A$1:$A$50, "&lt;="&amp;H71)</f>
        <v>2</v>
      </c>
      <c r="J70" s="10">
        <f t="shared" ref="J70" si="25">I70/(50*$C$60)</f>
        <v>2.8571428571428568</v>
      </c>
      <c r="K70" s="14">
        <f t="shared" ref="K70" si="26">(H70+H71)/2</f>
        <v>0.24550000000000005</v>
      </c>
      <c r="L70" s="10">
        <f t="shared" ref="L70" si="27" xml:space="preserve"> (1/($C$52*SQRT(2*PI()))) * EXP(-((K70-$A$52)^2/(2*$C$52*$C$52)))</f>
        <v>1.3260978710034848</v>
      </c>
    </row>
    <row r="71" spans="6:12" ht="15.75" thickBot="1" x14ac:dyDescent="0.25">
      <c r="H71" s="6">
        <f>F65</f>
        <v>0.252</v>
      </c>
      <c r="I71" s="9"/>
      <c r="J71" s="12"/>
      <c r="K71" s="16"/>
      <c r="L71" s="12"/>
    </row>
    <row r="72" spans="6:12" x14ac:dyDescent="0.2">
      <c r="K72" s="3">
        <v>0.252</v>
      </c>
      <c r="L72" s="3">
        <f xml:space="preserve"> (1/($C$52*SQRT(2*PI()))) * EXP(-((K72-$A$52)^2/(2*$C$52*$C$52)))</f>
        <v>0.63878369389516887</v>
      </c>
    </row>
    <row r="74" spans="6:12" x14ac:dyDescent="0.2">
      <c r="J74" s="1">
        <f>SUM(J58:J71)</f>
        <v>77.142857142857153</v>
      </c>
    </row>
  </sheetData>
  <mergeCells count="28">
    <mergeCell ref="L66:L67"/>
    <mergeCell ref="L68:L69"/>
    <mergeCell ref="L70:L71"/>
    <mergeCell ref="K60:K61"/>
    <mergeCell ref="K58:K59"/>
    <mergeCell ref="L64:L65"/>
    <mergeCell ref="L62:L63"/>
    <mergeCell ref="L60:L61"/>
    <mergeCell ref="L58:L59"/>
    <mergeCell ref="K70:K71"/>
    <mergeCell ref="K68:K69"/>
    <mergeCell ref="K66:K67"/>
    <mergeCell ref="K64:K65"/>
    <mergeCell ref="K62:K63"/>
    <mergeCell ref="I70:I71"/>
    <mergeCell ref="J62:J63"/>
    <mergeCell ref="J60:J61"/>
    <mergeCell ref="J58:J59"/>
    <mergeCell ref="J70:J71"/>
    <mergeCell ref="J68:J69"/>
    <mergeCell ref="J66:J67"/>
    <mergeCell ref="J64:J65"/>
    <mergeCell ref="I58:I59"/>
    <mergeCell ref="I60:I61"/>
    <mergeCell ref="I62:I63"/>
    <mergeCell ref="I64:I65"/>
    <mergeCell ref="I66:I67"/>
    <mergeCell ref="I68:I6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715DA-60F3-422C-9B30-BA4EC60B6A7F}">
  <dimension ref="A1:V74"/>
  <sheetViews>
    <sheetView tabSelected="1" topLeftCell="A25" zoomScaleNormal="100" workbookViewId="0">
      <selection activeCell="W75" sqref="W75"/>
    </sheetView>
  </sheetViews>
  <sheetFormatPr defaultRowHeight="15" x14ac:dyDescent="0.2"/>
  <cols>
    <col min="1" max="1" width="12.140625" style="4" bestFit="1" customWidth="1"/>
    <col min="2" max="2" width="14.140625" style="3" customWidth="1"/>
    <col min="3" max="3" width="17.5703125" style="3" customWidth="1"/>
    <col min="4" max="5" width="9.140625" style="3"/>
    <col min="6" max="6" width="8.28515625" style="3" bestFit="1" customWidth="1"/>
    <col min="7" max="7" width="9.140625" style="3"/>
    <col min="8" max="8" width="11" style="3" customWidth="1"/>
    <col min="9" max="11" width="9.28515625" style="3" bestFit="1" customWidth="1"/>
    <col min="12" max="12" width="15.85546875" style="3" bestFit="1" customWidth="1"/>
    <col min="13" max="13" width="9.28515625" style="3" bestFit="1" customWidth="1"/>
    <col min="14" max="14" width="9.140625" style="3"/>
    <col min="15" max="16" width="7.28515625" style="3" customWidth="1"/>
    <col min="17" max="18" width="9.28515625" style="3" bestFit="1" customWidth="1"/>
    <col min="19" max="16384" width="9.140625" style="3"/>
  </cols>
  <sheetData>
    <row r="1" spans="1:3" x14ac:dyDescent="0.2">
      <c r="A1" s="1">
        <v>0.20100000000000001</v>
      </c>
      <c r="B1" s="1">
        <f>A1-$A$52</f>
        <v>5.3199999999999914E-3</v>
      </c>
      <c r="C1" s="2">
        <f>B1*B1</f>
        <v>2.8302399999999907E-5</v>
      </c>
    </row>
    <row r="2" spans="1:3" x14ac:dyDescent="0.2">
      <c r="A2" s="1">
        <v>0.19500000000000001</v>
      </c>
      <c r="B2" s="1">
        <f t="shared" ref="B2:B50" si="0">A2-$A$52</f>
        <v>-6.8000000000001393E-4</v>
      </c>
      <c r="C2" s="2">
        <f t="shared" ref="C2:C50" si="1">B2*B2</f>
        <v>4.6240000000001896E-7</v>
      </c>
    </row>
    <row r="3" spans="1:3" x14ac:dyDescent="0.2">
      <c r="A3" s="1">
        <v>0.24099999999999999</v>
      </c>
      <c r="B3" s="1">
        <f t="shared" si="0"/>
        <v>4.5319999999999971E-2</v>
      </c>
      <c r="C3" s="2">
        <f t="shared" si="1"/>
        <v>2.0539023999999973E-3</v>
      </c>
    </row>
    <row r="4" spans="1:3" x14ac:dyDescent="0.2">
      <c r="A4" s="1">
        <v>0.186</v>
      </c>
      <c r="B4" s="1">
        <f t="shared" si="0"/>
        <v>-9.6800000000000219E-3</v>
      </c>
      <c r="C4" s="2">
        <f t="shared" si="1"/>
        <v>9.3702400000000426E-5</v>
      </c>
    </row>
    <row r="5" spans="1:3" x14ac:dyDescent="0.2">
      <c r="A5" s="1">
        <v>0.19500000000000001</v>
      </c>
      <c r="B5" s="1">
        <f t="shared" si="0"/>
        <v>-6.8000000000001393E-4</v>
      </c>
      <c r="C5" s="2">
        <f t="shared" si="1"/>
        <v>4.6240000000001896E-7</v>
      </c>
    </row>
    <row r="6" spans="1:3" x14ac:dyDescent="0.2">
      <c r="A6" s="1">
        <v>0.252</v>
      </c>
      <c r="B6" s="1">
        <f t="shared" si="0"/>
        <v>5.6319999999999981E-2</v>
      </c>
      <c r="C6" s="2">
        <f t="shared" si="1"/>
        <v>3.171942399999998E-3</v>
      </c>
    </row>
    <row r="7" spans="1:3" x14ac:dyDescent="0.2">
      <c r="A7" s="1">
        <v>0.20899999999999999</v>
      </c>
      <c r="B7" s="1">
        <f t="shared" si="0"/>
        <v>1.3319999999999971E-2</v>
      </c>
      <c r="C7" s="2">
        <f t="shared" si="1"/>
        <v>1.7742239999999921E-4</v>
      </c>
    </row>
    <row r="8" spans="1:3" x14ac:dyDescent="0.2">
      <c r="A8" s="1">
        <v>0.19900000000000001</v>
      </c>
      <c r="B8" s="1">
        <f t="shared" si="0"/>
        <v>3.3199999999999896E-3</v>
      </c>
      <c r="C8" s="2">
        <f t="shared" si="1"/>
        <v>1.1022399999999932E-5</v>
      </c>
    </row>
    <row r="9" spans="1:3" x14ac:dyDescent="0.2">
      <c r="A9" s="1">
        <v>0.193</v>
      </c>
      <c r="B9" s="1">
        <f t="shared" si="0"/>
        <v>-2.6800000000000157E-3</v>
      </c>
      <c r="C9" s="2">
        <f t="shared" si="1"/>
        <v>7.1824000000000839E-6</v>
      </c>
    </row>
    <row r="10" spans="1:3" x14ac:dyDescent="0.2">
      <c r="A10" s="1">
        <v>0.224</v>
      </c>
      <c r="B10" s="1">
        <f t="shared" si="0"/>
        <v>2.8319999999999984E-2</v>
      </c>
      <c r="C10" s="2">
        <f t="shared" si="1"/>
        <v>8.0202239999999905E-4</v>
      </c>
    </row>
    <row r="11" spans="1:3" x14ac:dyDescent="0.2">
      <c r="A11" s="1">
        <v>0.217</v>
      </c>
      <c r="B11" s="1">
        <f t="shared" si="0"/>
        <v>2.1319999999999978E-2</v>
      </c>
      <c r="C11" s="2">
        <f t="shared" si="1"/>
        <v>4.5454239999999905E-4</v>
      </c>
    </row>
    <row r="12" spans="1:3" x14ac:dyDescent="0.2">
      <c r="A12" s="1">
        <v>0.20499999999999999</v>
      </c>
      <c r="B12" s="1">
        <f t="shared" si="0"/>
        <v>9.3199999999999672E-3</v>
      </c>
      <c r="C12" s="2">
        <f t="shared" si="1"/>
        <v>8.6862399999999387E-5</v>
      </c>
    </row>
    <row r="13" spans="1:3" x14ac:dyDescent="0.2">
      <c r="A13" s="1">
        <v>0.16900000000000001</v>
      </c>
      <c r="B13" s="1">
        <f t="shared" si="0"/>
        <v>-2.6680000000000009E-2</v>
      </c>
      <c r="C13" s="2">
        <f t="shared" si="1"/>
        <v>7.1182240000000055E-4</v>
      </c>
    </row>
    <row r="14" spans="1:3" x14ac:dyDescent="0.2">
      <c r="A14" s="1">
        <v>0.187</v>
      </c>
      <c r="B14" s="1">
        <f t="shared" si="0"/>
        <v>-8.680000000000021E-3</v>
      </c>
      <c r="C14" s="2">
        <f t="shared" si="1"/>
        <v>7.5342400000000365E-5</v>
      </c>
    </row>
    <row r="15" spans="1:3" x14ac:dyDescent="0.2">
      <c r="A15" s="1">
        <v>0.182</v>
      </c>
      <c r="B15" s="1">
        <f t="shared" si="0"/>
        <v>-1.3680000000000025E-2</v>
      </c>
      <c r="C15" s="2">
        <f t="shared" si="1"/>
        <v>1.8714240000000068E-4</v>
      </c>
    </row>
    <row r="16" spans="1:3" x14ac:dyDescent="0.2">
      <c r="A16" s="1">
        <v>0.17</v>
      </c>
      <c r="B16" s="1">
        <f t="shared" si="0"/>
        <v>-2.5680000000000008E-2</v>
      </c>
      <c r="C16" s="2">
        <f t="shared" si="1"/>
        <v>6.5946240000000044E-4</v>
      </c>
    </row>
    <row r="17" spans="1:3" x14ac:dyDescent="0.2">
      <c r="A17" s="1">
        <v>0.19</v>
      </c>
      <c r="B17" s="1">
        <f t="shared" si="0"/>
        <v>-5.6800000000000184E-3</v>
      </c>
      <c r="C17" s="2">
        <f t="shared" si="1"/>
        <v>3.2262400000000208E-5</v>
      </c>
    </row>
    <row r="18" spans="1:3" x14ac:dyDescent="0.2">
      <c r="A18" s="1">
        <v>0.188</v>
      </c>
      <c r="B18" s="1">
        <f t="shared" si="0"/>
        <v>-7.6800000000000201E-3</v>
      </c>
      <c r="C18" s="2">
        <f t="shared" si="1"/>
        <v>5.8982400000000311E-5</v>
      </c>
    </row>
    <row r="19" spans="1:3" x14ac:dyDescent="0.2">
      <c r="A19" s="1">
        <v>0.20699999999999999</v>
      </c>
      <c r="B19" s="1">
        <f t="shared" si="0"/>
        <v>1.1319999999999969E-2</v>
      </c>
      <c r="C19" s="2">
        <f t="shared" si="1"/>
        <v>1.281423999999993E-4</v>
      </c>
    </row>
    <row r="20" spans="1:3" x14ac:dyDescent="0.2">
      <c r="A20" s="1">
        <v>0.223</v>
      </c>
      <c r="B20" s="1">
        <f t="shared" si="0"/>
        <v>2.7319999999999983E-2</v>
      </c>
      <c r="C20" s="2">
        <f t="shared" si="1"/>
        <v>7.4638239999999913E-4</v>
      </c>
    </row>
    <row r="21" spans="1:3" x14ac:dyDescent="0.2">
      <c r="A21" s="1">
        <v>0.18099999999999999</v>
      </c>
      <c r="B21" s="1">
        <f t="shared" si="0"/>
        <v>-1.4680000000000026E-2</v>
      </c>
      <c r="C21" s="2">
        <f t="shared" si="1"/>
        <v>2.1550240000000077E-4</v>
      </c>
    </row>
    <row r="22" spans="1:3" x14ac:dyDescent="0.2">
      <c r="A22" s="1">
        <v>0.19700000000000001</v>
      </c>
      <c r="B22" s="1">
        <f>A22-$A$52</f>
        <v>1.3199999999999878E-3</v>
      </c>
      <c r="C22" s="2">
        <f t="shared" si="1"/>
        <v>1.7423999999999679E-6</v>
      </c>
    </row>
    <row r="23" spans="1:3" x14ac:dyDescent="0.2">
      <c r="A23" s="1">
        <v>0.23599999999999999</v>
      </c>
      <c r="B23" s="1">
        <f t="shared" si="0"/>
        <v>4.0319999999999967E-2</v>
      </c>
      <c r="C23" s="2">
        <f t="shared" si="1"/>
        <v>1.6257023999999972E-3</v>
      </c>
    </row>
    <row r="24" spans="1:3" x14ac:dyDescent="0.2">
      <c r="A24" s="1">
        <v>0.17499999999999999</v>
      </c>
      <c r="B24" s="1">
        <f t="shared" si="0"/>
        <v>-2.0680000000000032E-2</v>
      </c>
      <c r="C24" s="2">
        <f t="shared" si="1"/>
        <v>4.2766240000000131E-4</v>
      </c>
    </row>
    <row r="25" spans="1:3" x14ac:dyDescent="0.2">
      <c r="A25" s="1">
        <v>0.184</v>
      </c>
      <c r="B25" s="1">
        <f t="shared" si="0"/>
        <v>-1.1680000000000024E-2</v>
      </c>
      <c r="C25" s="2">
        <f t="shared" si="1"/>
        <v>1.3642240000000055E-4</v>
      </c>
    </row>
    <row r="26" spans="1:3" x14ac:dyDescent="0.2">
      <c r="A26" s="1">
        <v>0.2</v>
      </c>
      <c r="B26" s="1">
        <f t="shared" si="0"/>
        <v>4.3199999999999905E-3</v>
      </c>
      <c r="C26" s="2">
        <f t="shared" si="1"/>
        <v>1.8662399999999918E-5</v>
      </c>
    </row>
    <row r="27" spans="1:3" x14ac:dyDescent="0.2">
      <c r="A27" s="1">
        <v>0.21</v>
      </c>
      <c r="B27" s="1">
        <f t="shared" si="0"/>
        <v>1.4319999999999972E-2</v>
      </c>
      <c r="C27" s="2">
        <f t="shared" si="1"/>
        <v>2.0506239999999918E-4</v>
      </c>
    </row>
    <row r="28" spans="1:3" x14ac:dyDescent="0.2">
      <c r="A28" s="1">
        <v>0.20200000000000001</v>
      </c>
      <c r="B28" s="1">
        <f t="shared" si="0"/>
        <v>6.3199999999999923E-3</v>
      </c>
      <c r="C28" s="2">
        <f t="shared" si="1"/>
        <v>3.9942399999999904E-5</v>
      </c>
    </row>
    <row r="29" spans="1:3" x14ac:dyDescent="0.2">
      <c r="A29" s="1">
        <v>0.193</v>
      </c>
      <c r="B29" s="1">
        <f t="shared" si="0"/>
        <v>-2.6800000000000157E-3</v>
      </c>
      <c r="C29" s="2">
        <f t="shared" si="1"/>
        <v>7.1824000000000839E-6</v>
      </c>
    </row>
    <row r="30" spans="1:3" x14ac:dyDescent="0.2">
      <c r="A30" s="1">
        <v>0.17899999999999999</v>
      </c>
      <c r="B30" s="1">
        <f t="shared" si="0"/>
        <v>-1.6680000000000028E-2</v>
      </c>
      <c r="C30" s="2">
        <f t="shared" si="1"/>
        <v>2.7822240000000096E-4</v>
      </c>
    </row>
    <row r="31" spans="1:3" x14ac:dyDescent="0.2">
      <c r="A31" s="1">
        <v>0.216</v>
      </c>
      <c r="B31" s="1">
        <f t="shared" si="0"/>
        <v>2.0319999999999977E-2</v>
      </c>
      <c r="C31" s="2">
        <f t="shared" si="1"/>
        <v>4.1290239999999909E-4</v>
      </c>
    </row>
    <row r="32" spans="1:3" x14ac:dyDescent="0.2">
      <c r="A32" s="1">
        <v>0.191</v>
      </c>
      <c r="B32" s="1">
        <f t="shared" si="0"/>
        <v>-4.6800000000000175E-3</v>
      </c>
      <c r="C32" s="2">
        <f t="shared" si="1"/>
        <v>2.1902400000000165E-5</v>
      </c>
    </row>
    <row r="33" spans="1:3" x14ac:dyDescent="0.2">
      <c r="A33" s="1">
        <v>0.187</v>
      </c>
      <c r="B33" s="1">
        <f t="shared" si="0"/>
        <v>-8.680000000000021E-3</v>
      </c>
      <c r="C33" s="2">
        <f t="shared" si="1"/>
        <v>7.5342400000000365E-5</v>
      </c>
    </row>
    <row r="34" spans="1:3" x14ac:dyDescent="0.2">
      <c r="A34" s="1">
        <v>0.22600000000000001</v>
      </c>
      <c r="B34" s="1">
        <f t="shared" si="0"/>
        <v>3.0319999999999986E-2</v>
      </c>
      <c r="C34" s="2">
        <f t="shared" si="1"/>
        <v>9.1930239999999915E-4</v>
      </c>
    </row>
    <row r="35" spans="1:3" x14ac:dyDescent="0.2">
      <c r="A35" s="1">
        <v>0.17799999999999999</v>
      </c>
      <c r="B35" s="1">
        <f t="shared" si="0"/>
        <v>-1.7680000000000029E-2</v>
      </c>
      <c r="C35" s="2">
        <f t="shared" si="1"/>
        <v>3.12582400000001E-4</v>
      </c>
    </row>
    <row r="36" spans="1:3" x14ac:dyDescent="0.2">
      <c r="A36" s="1">
        <v>0.19700000000000001</v>
      </c>
      <c r="B36" s="1">
        <f t="shared" si="0"/>
        <v>1.3199999999999878E-3</v>
      </c>
      <c r="C36" s="2">
        <f t="shared" si="1"/>
        <v>1.7423999999999679E-6</v>
      </c>
    </row>
    <row r="37" spans="1:3" x14ac:dyDescent="0.2">
      <c r="A37" s="1">
        <v>0.218</v>
      </c>
      <c r="B37" s="1">
        <f t="shared" si="0"/>
        <v>2.2319999999999979E-2</v>
      </c>
      <c r="C37" s="2">
        <f t="shared" si="1"/>
        <v>4.9818239999999906E-4</v>
      </c>
    </row>
    <row r="38" spans="1:3" x14ac:dyDescent="0.2">
      <c r="A38" s="1">
        <v>0.19</v>
      </c>
      <c r="B38" s="1">
        <f t="shared" si="0"/>
        <v>-5.6800000000000184E-3</v>
      </c>
      <c r="C38" s="2">
        <f t="shared" si="1"/>
        <v>3.2262400000000208E-5</v>
      </c>
    </row>
    <row r="39" spans="1:3" x14ac:dyDescent="0.2">
      <c r="A39" s="1">
        <v>0.183</v>
      </c>
      <c r="B39" s="1">
        <f t="shared" si="0"/>
        <v>-1.2680000000000025E-2</v>
      </c>
      <c r="C39" s="2">
        <f t="shared" si="1"/>
        <v>1.6078240000000062E-4</v>
      </c>
    </row>
    <row r="40" spans="1:3" x14ac:dyDescent="0.2">
      <c r="A40" s="1">
        <v>0.223</v>
      </c>
      <c r="B40" s="1">
        <f t="shared" si="0"/>
        <v>2.7319999999999983E-2</v>
      </c>
      <c r="C40" s="2">
        <f t="shared" si="1"/>
        <v>7.4638239999999913E-4</v>
      </c>
    </row>
    <row r="41" spans="1:3" x14ac:dyDescent="0.2">
      <c r="A41" s="1">
        <v>0.155</v>
      </c>
      <c r="B41" s="1">
        <f t="shared" si="0"/>
        <v>-4.0680000000000022E-2</v>
      </c>
      <c r="C41" s="2">
        <f t="shared" si="1"/>
        <v>1.6548624000000019E-3</v>
      </c>
    </row>
    <row r="42" spans="1:3" x14ac:dyDescent="0.2">
      <c r="A42" s="1">
        <v>0.159</v>
      </c>
      <c r="B42" s="1">
        <f t="shared" si="0"/>
        <v>-3.6680000000000018E-2</v>
      </c>
      <c r="C42" s="2">
        <f t="shared" si="1"/>
        <v>1.3454224000000014E-3</v>
      </c>
    </row>
    <row r="43" spans="1:3" x14ac:dyDescent="0.2">
      <c r="A43" s="1">
        <v>0.19400000000000001</v>
      </c>
      <c r="B43" s="1">
        <f t="shared" si="0"/>
        <v>-1.6800000000000148E-3</v>
      </c>
      <c r="C43" s="2">
        <f t="shared" si="1"/>
        <v>2.8224000000000498E-6</v>
      </c>
    </row>
    <row r="44" spans="1:3" x14ac:dyDescent="0.2">
      <c r="A44" s="1">
        <v>0.16500000000000001</v>
      </c>
      <c r="B44" s="1">
        <f t="shared" si="0"/>
        <v>-3.0680000000000013E-2</v>
      </c>
      <c r="C44" s="2">
        <f t="shared" si="1"/>
        <v>9.4126240000000079E-4</v>
      </c>
    </row>
    <row r="45" spans="1:3" x14ac:dyDescent="0.2">
      <c r="A45" s="1">
        <v>0.161</v>
      </c>
      <c r="B45" s="1">
        <f t="shared" si="0"/>
        <v>-3.4680000000000016E-2</v>
      </c>
      <c r="C45" s="2">
        <f t="shared" si="1"/>
        <v>1.2027024000000012E-3</v>
      </c>
    </row>
    <row r="46" spans="1:3" x14ac:dyDescent="0.2">
      <c r="A46" s="1">
        <v>0.16800000000000001</v>
      </c>
      <c r="B46" s="1">
        <f t="shared" si="0"/>
        <v>-2.768000000000001E-2</v>
      </c>
      <c r="C46" s="2">
        <f t="shared" si="1"/>
        <v>7.6618240000000059E-4</v>
      </c>
    </row>
    <row r="47" spans="1:3" x14ac:dyDescent="0.2">
      <c r="A47" s="1">
        <v>0.191</v>
      </c>
      <c r="B47" s="1">
        <f t="shared" si="0"/>
        <v>-4.6800000000000175E-3</v>
      </c>
      <c r="C47" s="2">
        <f t="shared" si="1"/>
        <v>2.1902400000000165E-5</v>
      </c>
    </row>
    <row r="48" spans="1:3" x14ac:dyDescent="0.2">
      <c r="A48" s="1">
        <v>0.17299999999999999</v>
      </c>
      <c r="B48" s="1">
        <f t="shared" si="0"/>
        <v>-2.2680000000000033E-2</v>
      </c>
      <c r="C48" s="2">
        <f t="shared" si="1"/>
        <v>5.1438240000000151E-4</v>
      </c>
    </row>
    <row r="49" spans="1:22" x14ac:dyDescent="0.2">
      <c r="A49" s="1">
        <v>0.22800000000000001</v>
      </c>
      <c r="B49" s="1">
        <f t="shared" si="0"/>
        <v>3.2319999999999988E-2</v>
      </c>
      <c r="C49" s="2">
        <f t="shared" si="1"/>
        <v>1.0445823999999991E-3</v>
      </c>
    </row>
    <row r="50" spans="1:22" x14ac:dyDescent="0.2">
      <c r="A50" s="1">
        <v>0.191</v>
      </c>
      <c r="B50" s="1">
        <f t="shared" si="0"/>
        <v>-4.6800000000000175E-3</v>
      </c>
      <c r="C50" s="2">
        <f t="shared" si="1"/>
        <v>2.1902400000000165E-5</v>
      </c>
    </row>
    <row r="52" spans="1:22" x14ac:dyDescent="0.2">
      <c r="A52" s="2">
        <f>SUM(A1:A50) / 50</f>
        <v>0.19568000000000002</v>
      </c>
      <c r="B52" s="2">
        <f>SUM(B1:B50)</f>
        <v>-9.7144514654701197E-16</v>
      </c>
      <c r="C52" s="3">
        <f>SQRT( SUM(C1:C50) * 1/49)</f>
        <v>2.1731609630739668E-2</v>
      </c>
    </row>
    <row r="53" spans="1:22" x14ac:dyDescent="0.2">
      <c r="A53" s="4" t="s">
        <v>0</v>
      </c>
      <c r="C53" s="3">
        <f>1/(C52*SQRT(PI() * 2))</f>
        <v>18.357695871599095</v>
      </c>
    </row>
    <row r="55" spans="1:22" x14ac:dyDescent="0.2">
      <c r="C55" s="3">
        <f>SQRT(SUM(C1:C50) * 1/(50*49))</f>
        <v>3.0733137071989806E-3</v>
      </c>
    </row>
    <row r="57" spans="1:22" ht="15.75" thickBot="1" x14ac:dyDescent="0.25">
      <c r="A57" s="7">
        <f>MIN(A1:A50)</f>
        <v>0.155</v>
      </c>
      <c r="K57" s="3">
        <v>0.155</v>
      </c>
      <c r="L57" s="3">
        <f xml:space="preserve"> (1/($C$52*SQRT(2*PI()))) * EXP(-((K57-$A$52)^2/(2*$C$52*$C$52)))</f>
        <v>3.183535584693264</v>
      </c>
    </row>
    <row r="58" spans="1:22" ht="15.75" thickBot="1" x14ac:dyDescent="0.25">
      <c r="A58" s="7">
        <f>MAX(A1:A50)</f>
        <v>0.252</v>
      </c>
      <c r="F58" s="1">
        <f>A57</f>
        <v>0.155</v>
      </c>
      <c r="H58" s="5">
        <f>F58</f>
        <v>0.155</v>
      </c>
      <c r="I58" s="13">
        <f>COUNTIFS($A$1:$A$50, "&gt;="&amp;H58,$A$1:$A$50, "&lt;="&amp;H59)</f>
        <v>6</v>
      </c>
      <c r="J58" s="11">
        <f>I58/(50*$C$60)</f>
        <v>8.5714285714285712</v>
      </c>
      <c r="K58" s="17">
        <f t="shared" ref="K58:K60" si="2">(H58+H59)/2</f>
        <v>0.16200000000000001</v>
      </c>
      <c r="L58" s="19">
        <f xml:space="preserve"> (1/($C$52*SQRT(2*PI()))) * EXP(-((H58-$A$52)^2/(2*$C$52*$C$52)))</f>
        <v>3.183535584693264</v>
      </c>
    </row>
    <row r="59" spans="1:22" ht="15.75" thickBot="1" x14ac:dyDescent="0.25">
      <c r="B59" s="1">
        <f>A58-A57</f>
        <v>9.7000000000000003E-2</v>
      </c>
      <c r="C59" s="3">
        <f>B59/7</f>
        <v>1.3857142857142858E-2</v>
      </c>
      <c r="F59" s="1">
        <f>F58+C$60</f>
        <v>0.16900000000000001</v>
      </c>
      <c r="H59" s="6">
        <f>F$59</f>
        <v>0.16900000000000001</v>
      </c>
      <c r="I59" s="8"/>
      <c r="J59" s="10"/>
      <c r="K59" s="17"/>
      <c r="L59" s="19">
        <f t="shared" ref="L59:L71" si="3" xml:space="preserve"> (1/($C$52*SQRT(2*PI()))) * EXP(-((H59-$A$52)^2/(2*$C$52*$C$52)))</f>
        <v>8.6401455123065052</v>
      </c>
      <c r="M59" s="3">
        <v>1</v>
      </c>
      <c r="N59" s="3" t="s">
        <v>1</v>
      </c>
      <c r="O59" s="1">
        <f>$A$52-M59*$C$52</f>
        <v>0.17394839036926035</v>
      </c>
      <c r="P59" s="1">
        <f>$A$52+M59*$C$52</f>
        <v>0.21741160963073969</v>
      </c>
      <c r="Q59" s="1">
        <f>COUNTIFS($A$1:$A$50, "&gt;="&amp;$O59, $A$1:$A$50, "&lt;="&amp;$P59)</f>
        <v>33</v>
      </c>
      <c r="R59" s="3">
        <f>Q59/50</f>
        <v>0.66</v>
      </c>
      <c r="S59" s="1"/>
      <c r="T59" s="3">
        <v>0.155</v>
      </c>
      <c r="U59" s="3">
        <v>8.5714285714285712</v>
      </c>
      <c r="V59" s="3">
        <v>3.183535584693264</v>
      </c>
    </row>
    <row r="60" spans="1:22" ht="15.75" thickBot="1" x14ac:dyDescent="0.25">
      <c r="C60" s="3">
        <f>ROUND(C59, 3)</f>
        <v>1.4E-2</v>
      </c>
      <c r="F60" s="1">
        <f t="shared" ref="F60:F64" si="4">F59+C$60</f>
        <v>0.18300000000000002</v>
      </c>
      <c r="H60" s="5">
        <f>F$59</f>
        <v>0.16900000000000001</v>
      </c>
      <c r="I60" s="8">
        <f>COUNTIFS($A$1:$A$50, "&gt;="&amp;H60,$A$1:$A$50, "&lt;="&amp;H61)</f>
        <v>9</v>
      </c>
      <c r="J60" s="10">
        <f t="shared" ref="J60" si="5">I60/(50*$C$60)</f>
        <v>12.857142857142856</v>
      </c>
      <c r="K60" s="17">
        <f t="shared" si="2"/>
        <v>0.17600000000000002</v>
      </c>
      <c r="L60" s="19">
        <f t="shared" si="3"/>
        <v>8.6401455123065052</v>
      </c>
      <c r="M60" s="3">
        <v>2</v>
      </c>
      <c r="N60" s="3" t="s">
        <v>2</v>
      </c>
      <c r="O60" s="1">
        <f t="shared" ref="O60" si="6">$A$52-M60*$C$52</f>
        <v>0.15221678073852069</v>
      </c>
      <c r="P60" s="1">
        <f t="shared" ref="P60:P61" si="7">$A$52+M60*$C$52</f>
        <v>0.23914321926147936</v>
      </c>
      <c r="Q60" s="1">
        <f>COUNTIFS($A$1:$A$50, "&gt;="&amp;$O60, $A$1:$A$50, "&lt;="&amp;$P60)</f>
        <v>48</v>
      </c>
      <c r="R60" s="3">
        <f t="shared" ref="R60:R61" si="8">Q60/50</f>
        <v>0.96</v>
      </c>
      <c r="S60" s="1"/>
      <c r="T60" s="3">
        <v>0.16200000000000001</v>
      </c>
      <c r="U60" s="3">
        <v>8.5714285714285712</v>
      </c>
      <c r="V60" s="3">
        <v>5.5238981637924249</v>
      </c>
    </row>
    <row r="61" spans="1:22" ht="15.75" thickBot="1" x14ac:dyDescent="0.25">
      <c r="F61" s="1">
        <f t="shared" si="4"/>
        <v>0.19700000000000004</v>
      </c>
      <c r="H61" s="6">
        <f>F60</f>
        <v>0.18300000000000002</v>
      </c>
      <c r="I61" s="8"/>
      <c r="J61" s="10"/>
      <c r="K61" s="17"/>
      <c r="L61" s="19">
        <f t="shared" si="3"/>
        <v>15.48424940521037</v>
      </c>
      <c r="M61" s="3">
        <v>3</v>
      </c>
      <c r="N61" s="3" t="s">
        <v>3</v>
      </c>
      <c r="O61" s="1">
        <f>$A$52-M61*$C$52</f>
        <v>0.13048517110778102</v>
      </c>
      <c r="P61" s="1">
        <f t="shared" si="7"/>
        <v>0.26087482889221902</v>
      </c>
      <c r="Q61" s="1">
        <f>COUNTIFS($A$1:$A$50, "&gt;="&amp;$O61, $A$1:$A$50, "&lt;="&amp;$P61)</f>
        <v>50</v>
      </c>
      <c r="R61" s="3">
        <f t="shared" si="8"/>
        <v>1</v>
      </c>
      <c r="S61" s="1"/>
      <c r="T61" s="3">
        <v>0.16900000000000001</v>
      </c>
      <c r="U61" s="3">
        <v>12.857142857142856</v>
      </c>
      <c r="V61" s="3">
        <v>8.6401455123065052</v>
      </c>
    </row>
    <row r="62" spans="1:22" ht="15.75" thickBot="1" x14ac:dyDescent="0.25">
      <c r="F62" s="1">
        <f t="shared" si="4"/>
        <v>0.21100000000000005</v>
      </c>
      <c r="H62" s="5">
        <f>F60</f>
        <v>0.18300000000000002</v>
      </c>
      <c r="I62" s="8">
        <f t="shared" ref="I62" si="9">COUNTIFS($A$1:$A$50, "&gt;="&amp;H62,$A$1:$A$50, "&lt;="&amp;H63)</f>
        <v>18</v>
      </c>
      <c r="J62" s="10">
        <f t="shared" ref="J62" si="10">I62/(50*$C$60)</f>
        <v>25.714285714285712</v>
      </c>
      <c r="K62" s="17">
        <f t="shared" ref="K62" si="11">(H62+H63)/2</f>
        <v>0.19000000000000003</v>
      </c>
      <c r="L62" s="19">
        <f t="shared" si="3"/>
        <v>15.48424940521037</v>
      </c>
      <c r="T62" s="3">
        <v>0.17600000000000002</v>
      </c>
      <c r="U62" s="3">
        <v>12.857142857142856</v>
      </c>
      <c r="V62" s="3">
        <v>12.182485079069643</v>
      </c>
    </row>
    <row r="63" spans="1:22" ht="15.75" thickBot="1" x14ac:dyDescent="0.25">
      <c r="F63" s="1">
        <f t="shared" si="4"/>
        <v>0.22500000000000006</v>
      </c>
      <c r="H63" s="6">
        <f>F61</f>
        <v>0.19700000000000004</v>
      </c>
      <c r="I63" s="8"/>
      <c r="J63" s="10"/>
      <c r="K63" s="17"/>
      <c r="L63" s="19">
        <f t="shared" si="3"/>
        <v>18.323861997444503</v>
      </c>
      <c r="T63" s="3">
        <v>0.18300000000000002</v>
      </c>
      <c r="U63" s="3">
        <v>25.714285714285712</v>
      </c>
      <c r="V63" s="3">
        <v>15.48424940521037</v>
      </c>
    </row>
    <row r="64" spans="1:22" ht="15.75" thickBot="1" x14ac:dyDescent="0.25">
      <c r="F64" s="1">
        <f t="shared" si="4"/>
        <v>0.23900000000000007</v>
      </c>
      <c r="H64" s="5">
        <f>F61</f>
        <v>0.19700000000000004</v>
      </c>
      <c r="I64" s="8">
        <f t="shared" ref="I64" si="12">COUNTIFS($A$1:$A$50, "&gt;="&amp;H64,$A$1:$A$50, "&lt;="&amp;H65)</f>
        <v>10</v>
      </c>
      <c r="J64" s="10">
        <f t="shared" ref="J64" si="13">I64/(50*$C$60)</f>
        <v>14.285714285714285</v>
      </c>
      <c r="K64" s="17">
        <f t="shared" ref="K64" si="14">(H64+H65)/2</f>
        <v>0.20400000000000004</v>
      </c>
      <c r="L64" s="19">
        <f t="shared" si="3"/>
        <v>18.323861997444503</v>
      </c>
      <c r="T64" s="3">
        <v>0.19000000000000003</v>
      </c>
      <c r="U64" s="3">
        <v>25.714285714285712</v>
      </c>
      <c r="V64" s="3">
        <v>17.74123570954108</v>
      </c>
    </row>
    <row r="65" spans="6:22" ht="15.75" thickBot="1" x14ac:dyDescent="0.25">
      <c r="F65" s="1">
        <v>0.252</v>
      </c>
      <c r="H65" s="6">
        <f>F62</f>
        <v>0.21100000000000005</v>
      </c>
      <c r="I65" s="8"/>
      <c r="J65" s="10"/>
      <c r="K65" s="17"/>
      <c r="L65" s="19">
        <f t="shared" si="3"/>
        <v>14.318635046565786</v>
      </c>
      <c r="T65" s="3">
        <v>0.19700000000000004</v>
      </c>
      <c r="U65" s="3">
        <v>14.285714285714285</v>
      </c>
      <c r="V65" s="3">
        <v>18.323861997444503</v>
      </c>
    </row>
    <row r="66" spans="6:22" ht="15.75" thickBot="1" x14ac:dyDescent="0.25">
      <c r="H66" s="5">
        <f>F62</f>
        <v>0.21100000000000005</v>
      </c>
      <c r="I66" s="8">
        <f t="shared" ref="I66" si="15">COUNTIFS($A$1:$A$50, "&gt;="&amp;H66,$A$1:$A$50, "&lt;="&amp;H67)</f>
        <v>6</v>
      </c>
      <c r="J66" s="10">
        <f t="shared" ref="J66" si="16">I66/(50*$C$60)</f>
        <v>8.5714285714285712</v>
      </c>
      <c r="K66" s="17">
        <f t="shared" ref="K66" si="17">(H66+H67)/2</f>
        <v>0.21800000000000005</v>
      </c>
      <c r="L66" s="19">
        <f t="shared" si="3"/>
        <v>14.318635046565786</v>
      </c>
      <c r="T66" s="3">
        <v>0.20400000000000004</v>
      </c>
      <c r="U66" s="3">
        <v>14.285714285714285</v>
      </c>
      <c r="V66" s="3">
        <v>17.060415222329461</v>
      </c>
    </row>
    <row r="67" spans="6:22" ht="15.75" thickBot="1" x14ac:dyDescent="0.25">
      <c r="H67" s="6">
        <f>F63</f>
        <v>0.22500000000000006</v>
      </c>
      <c r="I67" s="8"/>
      <c r="J67" s="10"/>
      <c r="K67" s="17"/>
      <c r="L67" s="19">
        <f t="shared" si="3"/>
        <v>7.3882907997753771</v>
      </c>
      <c r="T67" s="3">
        <v>0.21100000000000005</v>
      </c>
      <c r="U67" s="3">
        <v>8.5714285714285712</v>
      </c>
      <c r="V67" s="3">
        <v>14.318635046565786</v>
      </c>
    </row>
    <row r="68" spans="6:22" ht="15.75" thickBot="1" x14ac:dyDescent="0.25">
      <c r="H68" s="5">
        <f>F63</f>
        <v>0.22500000000000006</v>
      </c>
      <c r="I68" s="8">
        <f t="shared" ref="I68" si="18">COUNTIFS($A$1:$A$50, "&gt;="&amp;H68,$A$1:$A$50, "&lt;="&amp;H69)</f>
        <v>3</v>
      </c>
      <c r="J68" s="10">
        <f t="shared" ref="J68" si="19">I68/(50*$C$60)</f>
        <v>4.2857142857142856</v>
      </c>
      <c r="K68" s="17">
        <f t="shared" ref="K68" si="20">(H68+H69)/2</f>
        <v>0.23200000000000007</v>
      </c>
      <c r="L68" s="19">
        <f t="shared" si="3"/>
        <v>7.3882907997753771</v>
      </c>
      <c r="T68" s="3">
        <v>0.21800000000000005</v>
      </c>
      <c r="U68" s="3">
        <v>8.5714285714285712</v>
      </c>
      <c r="V68" s="3">
        <v>10.833108208114236</v>
      </c>
    </row>
    <row r="69" spans="6:22" ht="15.75" thickBot="1" x14ac:dyDescent="0.25">
      <c r="H69" s="6">
        <f>F64</f>
        <v>0.23900000000000007</v>
      </c>
      <c r="I69" s="8"/>
      <c r="J69" s="10"/>
      <c r="K69" s="17"/>
      <c r="L69" s="19">
        <f t="shared" si="3"/>
        <v>2.5173528566193442</v>
      </c>
      <c r="T69" s="3">
        <v>0.22500000000000006</v>
      </c>
      <c r="U69" s="3">
        <v>4.2857142857142856</v>
      </c>
      <c r="V69" s="3">
        <v>7.3882907997753771</v>
      </c>
    </row>
    <row r="70" spans="6:22" ht="15.75" thickBot="1" x14ac:dyDescent="0.25">
      <c r="H70" s="5">
        <f>F64</f>
        <v>0.23900000000000007</v>
      </c>
      <c r="I70" s="8">
        <f t="shared" ref="I70" si="21">COUNTIFS($A$1:$A$50, "&gt;="&amp;H70,$A$1:$A$50, "&lt;="&amp;H71)</f>
        <v>2</v>
      </c>
      <c r="J70" s="10">
        <f t="shared" ref="J70" si="22">I70/(50*$C$60)</f>
        <v>2.8571428571428568</v>
      </c>
      <c r="K70" s="17">
        <f t="shared" ref="K70" si="23">(H70+H71)/2</f>
        <v>0.24550000000000005</v>
      </c>
      <c r="L70" s="19">
        <f t="shared" si="3"/>
        <v>2.5173528566193442</v>
      </c>
      <c r="T70" s="3">
        <v>0.23200000000000007</v>
      </c>
      <c r="U70" s="3">
        <v>4.2857142857142856</v>
      </c>
      <c r="V70" s="3">
        <v>2.5173528566193442</v>
      </c>
    </row>
    <row r="71" spans="6:22" ht="15.75" thickBot="1" x14ac:dyDescent="0.25">
      <c r="H71" s="6">
        <f>F65</f>
        <v>0.252</v>
      </c>
      <c r="I71" s="9"/>
      <c r="J71" s="12"/>
      <c r="K71" s="18"/>
      <c r="L71" s="19">
        <f t="shared" si="3"/>
        <v>0.63878369389516887</v>
      </c>
      <c r="T71" s="3">
        <v>0.23900000000000007</v>
      </c>
      <c r="U71" s="3">
        <v>2.8571428571428568</v>
      </c>
      <c r="V71" s="3">
        <v>1.3260978710034848</v>
      </c>
    </row>
    <row r="72" spans="6:22" x14ac:dyDescent="0.2">
      <c r="K72" s="3">
        <v>0.252</v>
      </c>
      <c r="L72" s="3">
        <f xml:space="preserve"> (1/($C$52*SQRT(2*PI()))) * EXP(-((K72-$A$52)^2/(2*$C$52*$C$52)))</f>
        <v>0.63878369389516887</v>
      </c>
      <c r="T72" s="3">
        <v>0.252</v>
      </c>
      <c r="U72" s="3">
        <v>2.8571428571428568</v>
      </c>
      <c r="V72" s="3">
        <v>0.63878369389516887</v>
      </c>
    </row>
    <row r="74" spans="6:22" x14ac:dyDescent="0.2">
      <c r="J74" s="1">
        <f>SUM(J58:J71)</f>
        <v>77.142857142857153</v>
      </c>
    </row>
  </sheetData>
  <mergeCells count="14">
    <mergeCell ref="I70:I71"/>
    <mergeCell ref="J70:J71"/>
    <mergeCell ref="I66:I67"/>
    <mergeCell ref="J66:J67"/>
    <mergeCell ref="I68:I69"/>
    <mergeCell ref="J68:J69"/>
    <mergeCell ref="I62:I63"/>
    <mergeCell ref="J62:J63"/>
    <mergeCell ref="I64:I65"/>
    <mergeCell ref="J64:J65"/>
    <mergeCell ref="I58:I59"/>
    <mergeCell ref="J58:J59"/>
    <mergeCell ref="I60:I61"/>
    <mergeCell ref="J60:J6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2025-09-24T18:02:04Z</dcterms:modified>
</cp:coreProperties>
</file>