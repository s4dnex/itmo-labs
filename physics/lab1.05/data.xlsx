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nex\Downloads\"/>
    </mc:Choice>
  </mc:AlternateContent>
  <xr:revisionPtr revIDLastSave="0" documentId="13_ncr:1_{58507F8C-9DAC-4792-B1EA-24A59809DF49}" xr6:coauthVersionLast="47" xr6:coauthVersionMax="47" xr10:uidLastSave="{00000000-0000-0000-0000-000000000000}"/>
  <bookViews>
    <workbookView xWindow="5235" yWindow="21480" windowWidth="29040" windowHeight="15720" xr2:uid="{00000000-000D-0000-FFFF-FFFF00000000}"/>
  </bookViews>
  <sheets>
    <sheet name="Лист1" sheetId="1" r:id="rId1"/>
  </sheets>
  <definedNames>
    <definedName name="solver_adj" localSheetId="0" hidden="1">Лист1!$B$26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Лист1!$B$27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O4" i="1"/>
  <c r="O5" i="1"/>
  <c r="O6" i="1"/>
  <c r="O7" i="1"/>
  <c r="O2" i="1"/>
  <c r="O3" i="1"/>
  <c r="F11" i="1"/>
  <c r="G11" i="1"/>
  <c r="H11" i="1"/>
  <c r="I11" i="1"/>
  <c r="J11" i="1"/>
  <c r="E11" i="1"/>
  <c r="M13" i="1"/>
  <c r="V34" i="1" l="1"/>
  <c r="M23" i="1" l="1"/>
  <c r="M24" i="1" s="1"/>
  <c r="AI11" i="1" l="1"/>
  <c r="AJ3" i="1"/>
  <c r="AJ4" i="1"/>
  <c r="AJ5" i="1"/>
  <c r="AJ6" i="1"/>
  <c r="AJ7" i="1"/>
  <c r="AJ2" i="1"/>
  <c r="F51" i="1"/>
  <c r="G51" i="1"/>
  <c r="H51" i="1"/>
  <c r="I51" i="1"/>
  <c r="J51" i="1"/>
  <c r="N24" i="1"/>
  <c r="O24" i="1"/>
  <c r="N23" i="1"/>
  <c r="O23" i="1"/>
  <c r="P23" i="1"/>
  <c r="P24" i="1" s="1"/>
  <c r="Q23" i="1"/>
  <c r="Q24" i="1" s="1"/>
  <c r="R23" i="1"/>
  <c r="R24" i="1" s="1"/>
  <c r="B29" i="1"/>
  <c r="B8" i="1"/>
  <c r="B19" i="1"/>
  <c r="E51" i="1" l="1"/>
  <c r="E12" i="1"/>
  <c r="E52" i="1" l="1"/>
  <c r="E14" i="1"/>
  <c r="O10" i="1"/>
  <c r="E32" i="1"/>
  <c r="F32" i="1" s="1"/>
  <c r="G32" i="1" s="1"/>
  <c r="H32" i="1" s="1"/>
  <c r="E33" i="1"/>
  <c r="F33" i="1" s="1"/>
  <c r="G33" i="1" s="1"/>
  <c r="H33" i="1" s="1"/>
  <c r="E34" i="1"/>
  <c r="F34" i="1" s="1"/>
  <c r="G34" i="1" s="1"/>
  <c r="H34" i="1" s="1"/>
  <c r="J13" i="1" l="1"/>
  <c r="E36" i="1"/>
  <c r="F36" i="1" s="1"/>
  <c r="G36" i="1" s="1"/>
  <c r="I13" i="1"/>
  <c r="E31" i="1"/>
  <c r="F31" i="1" s="1"/>
  <c r="G31" i="1" s="1"/>
  <c r="H31" i="1" s="1"/>
  <c r="F12" i="1"/>
  <c r="A13" i="1"/>
  <c r="A16" i="1"/>
  <c r="H12" i="1"/>
  <c r="G12" i="1"/>
  <c r="I12" i="1"/>
  <c r="J12" i="1"/>
  <c r="E35" i="1"/>
  <c r="F35" i="1" s="1"/>
  <c r="G35" i="1" s="1"/>
  <c r="H35" i="1" s="1"/>
  <c r="I14" i="1" l="1"/>
  <c r="I52" i="1"/>
  <c r="G14" i="1"/>
  <c r="G52" i="1"/>
  <c r="J14" i="1"/>
  <c r="J52" i="1"/>
  <c r="H14" i="1"/>
  <c r="H52" i="1"/>
  <c r="F14" i="1"/>
  <c r="F52" i="1"/>
  <c r="U35" i="1" a="1"/>
  <c r="A17" i="1"/>
  <c r="F45" i="1"/>
  <c r="G13" i="1"/>
  <c r="F46" i="1"/>
  <c r="H13" i="1"/>
  <c r="F47" i="1"/>
  <c r="G47" i="1" s="1"/>
  <c r="E13" i="1"/>
  <c r="A12" i="1"/>
  <c r="F43" i="1"/>
  <c r="F44" i="1"/>
  <c r="F13" i="1"/>
  <c r="H36" i="1"/>
  <c r="F48" i="1"/>
  <c r="G48" i="1" s="1"/>
  <c r="A14" i="1"/>
  <c r="A15" i="1"/>
  <c r="B12" i="1" a="1"/>
  <c r="A20" i="1" a="1"/>
  <c r="B21" i="1" s="1"/>
  <c r="V40" i="1" l="1"/>
  <c r="V39" i="1"/>
  <c r="V38" i="1"/>
  <c r="V36" i="1"/>
  <c r="V37" i="1"/>
  <c r="U35" i="1"/>
  <c r="V35" i="1" s="1"/>
  <c r="G46" i="1"/>
  <c r="G43" i="1"/>
  <c r="G44" i="1"/>
  <c r="G45" i="1"/>
  <c r="B12" i="1"/>
  <c r="B33" i="1" s="1"/>
  <c r="B24" i="1"/>
  <c r="B25" i="1"/>
  <c r="B22" i="1"/>
  <c r="B23" i="1"/>
  <c r="A20" i="1"/>
  <c r="B20" i="1" s="1"/>
  <c r="B27" i="1" l="1"/>
  <c r="B34" i="1" s="1"/>
  <c r="B39" i="1" s="1"/>
  <c r="B31" i="1"/>
  <c r="J5" i="1"/>
  <c r="I25" i="1" s="1"/>
  <c r="I26" i="1" s="1"/>
  <c r="I27" i="1" s="1"/>
  <c r="I28" i="1" s="1"/>
  <c r="I5" i="1"/>
  <c r="H25" i="1" s="1"/>
  <c r="H26" i="1" s="1"/>
  <c r="H27" i="1" s="1"/>
  <c r="H28" i="1" s="1"/>
  <c r="H5" i="1"/>
  <c r="G25" i="1" s="1"/>
  <c r="G26" i="1" s="1"/>
  <c r="G27" i="1" s="1"/>
  <c r="G28" i="1" s="1"/>
  <c r="G5" i="1"/>
  <c r="F25" i="1" s="1"/>
  <c r="F26" i="1" s="1"/>
  <c r="F27" i="1" s="1"/>
  <c r="F28" i="1" s="1"/>
  <c r="F5" i="1"/>
  <c r="E25" i="1" s="1"/>
  <c r="E26" i="1" s="1"/>
  <c r="E27" i="1" s="1"/>
  <c r="E28" i="1" s="1"/>
  <c r="E5" i="1"/>
  <c r="C39" i="1" l="1"/>
  <c r="B40" i="1"/>
  <c r="C40" i="1" s="1"/>
  <c r="B44" i="1"/>
  <c r="C44" i="1" s="1"/>
  <c r="B42" i="1"/>
  <c r="C42" i="1" s="1"/>
  <c r="B41" i="1"/>
  <c r="C41" i="1" s="1"/>
  <c r="B43" i="1"/>
  <c r="C43" i="1" s="1"/>
  <c r="B4" i="1"/>
  <c r="B6" i="1" s="1"/>
  <c r="M14" i="1" l="1"/>
  <c r="O13" i="1" l="1"/>
  <c r="O17" i="1"/>
  <c r="O16" i="1"/>
  <c r="O15" i="1"/>
  <c r="M15" i="1" l="1"/>
  <c r="O18" i="1"/>
  <c r="M9" i="1"/>
  <c r="M10" i="1" s="1"/>
  <c r="O14" i="1" l="1"/>
  <c r="O19" i="1" s="1"/>
  <c r="O9" i="1"/>
  <c r="H39" i="1" l="1"/>
  <c r="H40" i="1" s="1"/>
  <c r="E39" i="1"/>
  <c r="E40" i="1" s="1"/>
  <c r="F39" i="1"/>
  <c r="F40" i="1" s="1"/>
  <c r="G39" i="1"/>
  <c r="G40" i="1" s="1"/>
  <c r="J39" i="1"/>
  <c r="O20" i="1"/>
  <c r="I39" i="1"/>
  <c r="I40" i="1" s="1"/>
  <c r="C33" i="1"/>
  <c r="C34" i="1" s="1"/>
  <c r="J55" i="1" l="1"/>
  <c r="J56" i="1" s="1"/>
  <c r="E55" i="1"/>
  <c r="E56" i="1" s="1"/>
  <c r="H55" i="1"/>
  <c r="H56" i="1" s="1"/>
  <c r="I55" i="1"/>
  <c r="I56" i="1" s="1"/>
  <c r="A47" i="1"/>
  <c r="G55" i="1"/>
  <c r="G56" i="1" s="1"/>
  <c r="F55" i="1"/>
  <c r="F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<sst xmlns="http://schemas.openxmlformats.org/spreadsheetml/2006/main" count="136" uniqueCount="78">
  <si>
    <t>t</t>
  </si>
  <si>
    <r>
      <t>t</t>
    </r>
    <r>
      <rPr>
        <vertAlign val="subscript"/>
        <sz val="12"/>
        <color theme="1"/>
        <rFont val="Times New Roman"/>
        <family val="1"/>
        <charset val="204"/>
      </rPr>
      <t>1</t>
    </r>
  </si>
  <si>
    <r>
      <t>t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</si>
  <si>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t</t>
    </r>
    <r>
      <rPr>
        <vertAlign val="subscript"/>
        <sz val="12"/>
        <color theme="1"/>
        <rFont val="Times New Roman"/>
        <family val="1"/>
        <charset val="204"/>
      </rPr>
      <t>3</t>
    </r>
  </si>
  <si>
    <t>Положение боковых грузов</t>
  </si>
  <si>
    <t>Амплитуда отклонения Время</t>
  </si>
  <si>
    <r>
      <t>20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</si>
  <si>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25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</si>
  <si>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15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</si>
  <si>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10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</si>
  <si>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5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</si>
  <si>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30</t>
    </r>
    <r>
      <rPr>
        <vertAlign val="superscript"/>
        <sz val="11"/>
        <color rgb="FF000000"/>
        <rFont val="Cambria"/>
        <family val="1"/>
        <charset val="204"/>
      </rPr>
      <t>∘</t>
    </r>
  </si>
  <si>
    <r>
      <t>t</t>
    </r>
    <r>
      <rPr>
        <b/>
        <sz val="11"/>
        <color rgb="FF000000"/>
        <rFont val="Cambria"/>
        <family val="1"/>
        <charset val="204"/>
      </rPr>
      <t>¯</t>
    </r>
  </si>
  <si>
    <t>T</t>
  </si>
  <si>
    <t>N</t>
  </si>
  <si>
    <t>А</t>
  </si>
  <si>
    <t>ϕ</t>
  </si>
  <si>
    <t>dR</t>
  </si>
  <si>
    <t>∆ϕ</t>
  </si>
  <si>
    <t>n</t>
  </si>
  <si>
    <r>
      <t>R</t>
    </r>
    <r>
      <rPr>
        <vertAlign val="subscript"/>
        <sz val="12"/>
        <color theme="1"/>
        <rFont val="Times New Roman"/>
        <family val="1"/>
        <charset val="204"/>
      </rPr>
      <t>верх</t>
    </r>
  </si>
  <si>
    <r>
      <t>R</t>
    </r>
    <r>
      <rPr>
        <vertAlign val="subscript"/>
        <sz val="12"/>
        <color theme="1"/>
        <rFont val="Times New Roman"/>
        <family val="1"/>
        <charset val="204"/>
      </rPr>
      <t>нижн</t>
    </r>
  </si>
  <si>
    <r>
      <t>R</t>
    </r>
    <r>
      <rPr>
        <vertAlign val="subscript"/>
        <sz val="12"/>
        <color theme="1"/>
        <rFont val="Times New Roman"/>
        <family val="1"/>
        <charset val="204"/>
      </rPr>
      <t>бок</t>
    </r>
  </si>
  <si>
    <r>
      <t>I</t>
    </r>
    <r>
      <rPr>
        <vertAlign val="subscript"/>
        <sz val="12"/>
        <color theme="1"/>
        <rFont val="Times New Roman"/>
        <family val="1"/>
        <charset val="204"/>
      </rPr>
      <t>гр</t>
    </r>
  </si>
  <si>
    <t>Риски</t>
  </si>
  <si>
    <t>I</t>
  </si>
  <si>
    <r>
      <t>l</t>
    </r>
    <r>
      <rPr>
        <vertAlign val="subscript"/>
        <sz val="12"/>
        <color theme="1"/>
        <rFont val="Times New Roman"/>
        <family val="1"/>
        <charset val="204"/>
      </rPr>
      <t>пр эксп</t>
    </r>
  </si>
  <si>
    <r>
      <t>l</t>
    </r>
    <r>
      <rPr>
        <vertAlign val="subscript"/>
        <sz val="12"/>
        <color theme="1"/>
        <rFont val="Times New Roman"/>
        <family val="1"/>
        <charset val="204"/>
      </rPr>
      <t>пр теор</t>
    </r>
  </si>
  <si>
    <r>
      <t>I</t>
    </r>
    <r>
      <rPr>
        <vertAlign val="subscript"/>
        <sz val="12"/>
        <color theme="1"/>
        <rFont val="Times New Roman"/>
        <family val="1"/>
        <charset val="204"/>
      </rPr>
      <t>0</t>
    </r>
  </si>
  <si>
    <r>
      <t>m</t>
    </r>
    <r>
      <rPr>
        <vertAlign val="subscript"/>
        <sz val="12"/>
        <color theme="1"/>
        <rFont val="Times New Roman"/>
        <family val="1"/>
        <charset val="204"/>
      </rPr>
      <t>гр</t>
    </r>
  </si>
  <si>
    <t>1 риска</t>
  </si>
  <si>
    <t>2 риски</t>
  </si>
  <si>
    <t>3 риски</t>
  </si>
  <si>
    <t>4 риски</t>
  </si>
  <si>
    <t>5 рисок</t>
  </si>
  <si>
    <t>6 рисок</t>
  </si>
  <si>
    <r>
      <t>T</t>
    </r>
    <r>
      <rPr>
        <b/>
        <vertAlign val="superscript"/>
        <sz val="12"/>
        <color theme="1"/>
        <rFont val="Times New Roman"/>
        <family val="1"/>
        <charset val="204"/>
      </rPr>
      <t>2</t>
    </r>
  </si>
  <si>
    <t>ml</t>
  </si>
  <si>
    <t>S</t>
  </si>
  <si>
    <t>l</t>
  </si>
  <si>
    <t>Если сухое</t>
  </si>
  <si>
    <t>ln(A/A0)</t>
  </si>
  <si>
    <t>β</t>
  </si>
  <si>
    <t>θ</t>
  </si>
  <si>
    <t>Если вязкое</t>
  </si>
  <si>
    <t>dt</t>
  </si>
  <si>
    <t>St</t>
  </si>
  <si>
    <t>dt¯</t>
  </si>
  <si>
    <r>
      <rPr>
        <sz val="12"/>
        <color theme="1"/>
        <rFont val="Calibri"/>
        <family val="2"/>
        <charset val="204"/>
      </rPr>
      <t>ε</t>
    </r>
    <r>
      <rPr>
        <sz val="12"/>
        <color theme="1"/>
        <rFont val="Times New Roman"/>
        <family val="1"/>
        <charset val="204"/>
      </rPr>
      <t>t</t>
    </r>
  </si>
  <si>
    <t>Амплитуда отклонения Погрешности (время)</t>
  </si>
  <si>
    <t>ln(A/A0)¯</t>
  </si>
  <si>
    <r>
      <t>d</t>
    </r>
    <r>
      <rPr>
        <vertAlign val="subscript"/>
        <sz val="12"/>
        <color theme="1"/>
        <rFont val="Times New Roman"/>
        <family val="1"/>
        <charset val="204"/>
      </rPr>
      <t>1</t>
    </r>
  </si>
  <si>
    <r>
      <t>d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</si>
  <si>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d</t>
    </r>
    <r>
      <rPr>
        <vertAlign val="subscript"/>
        <sz val="12"/>
        <color theme="1"/>
        <rFont val="Times New Roman"/>
        <family val="1"/>
        <charset val="204"/>
      </rPr>
      <t>3</t>
    </r>
  </si>
  <si>
    <r>
      <t>d</t>
    </r>
    <r>
      <rPr>
        <vertAlign val="subscript"/>
        <sz val="12"/>
        <color theme="1"/>
        <rFont val="Times New Roman"/>
        <family val="1"/>
        <charset val="204"/>
      </rPr>
      <t>4</t>
    </r>
  </si>
  <si>
    <r>
      <t>d</t>
    </r>
    <r>
      <rPr>
        <vertAlign val="subscript"/>
        <sz val="12"/>
        <color theme="1"/>
        <rFont val="Times New Roman"/>
        <family val="1"/>
        <charset val="204"/>
      </rPr>
      <t>5</t>
    </r>
  </si>
  <si>
    <r>
      <t>d</t>
    </r>
    <r>
      <rPr>
        <vertAlign val="subscript"/>
        <sz val="12"/>
        <color theme="1"/>
        <rFont val="Times New Roman"/>
        <family val="1"/>
        <charset val="204"/>
      </rPr>
      <t>6</t>
    </r>
  </si>
  <si>
    <t>dln(A/A0)</t>
  </si>
  <si>
    <t>Sb^2</t>
  </si>
  <si>
    <t>Всё-таки вязкое</t>
  </si>
  <si>
    <t>d(ml)</t>
  </si>
  <si>
    <t>4p2/mgl</t>
  </si>
  <si>
    <t>d(4p2/mgl)</t>
  </si>
  <si>
    <t>dT2</t>
  </si>
  <si>
    <t>eT2</t>
  </si>
  <si>
    <t>Амплитуда отклонения Погрешности (декремент)</t>
  </si>
  <si>
    <t>eln(A/A0)</t>
  </si>
  <si>
    <r>
      <t>dl</t>
    </r>
    <r>
      <rPr>
        <vertAlign val="subscript"/>
        <sz val="12"/>
        <color theme="1"/>
        <rFont val="Times New Roman"/>
        <family val="1"/>
        <charset val="204"/>
      </rPr>
      <t>пр эксп</t>
    </r>
  </si>
  <si>
    <r>
      <t>el</t>
    </r>
    <r>
      <rPr>
        <vertAlign val="subscript"/>
        <sz val="12"/>
        <color theme="1"/>
        <rFont val="Times New Roman"/>
        <family val="1"/>
        <charset val="204"/>
      </rPr>
      <t>пр эксп</t>
    </r>
  </si>
  <si>
    <t>eR</t>
  </si>
  <si>
    <t>dI</t>
  </si>
  <si>
    <t>eI</t>
  </si>
  <si>
    <r>
      <t>dl</t>
    </r>
    <r>
      <rPr>
        <vertAlign val="subscript"/>
        <sz val="12"/>
        <color theme="1"/>
        <rFont val="Times New Roman"/>
        <family val="1"/>
        <charset val="204"/>
      </rPr>
      <t>пр теор</t>
    </r>
  </si>
  <si>
    <r>
      <t>el</t>
    </r>
    <r>
      <rPr>
        <vertAlign val="subscript"/>
        <sz val="12"/>
        <color theme="1"/>
        <rFont val="Times New Roman"/>
        <family val="1"/>
        <charset val="204"/>
      </rPr>
      <t>пр теор</t>
    </r>
  </si>
  <si>
    <t>ln A</t>
  </si>
  <si>
    <t>tg a2</t>
  </si>
  <si>
    <t>b2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</si>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</sst>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"/>
    <numFmt numFmtId="167" formatCode="0.0"/>
    <numFmt numFmtId="168" formatCode="0.0000000"/>
    <numFmt numFmtId="169" formatCode="0.00000000000"/>
  </numFmts>
  <fonts count="1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vertAlign val="superscript"/>
      <sz val="11"/>
      <color rgb="FF000000"/>
      <name val="Cambria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1"/>
      <color rgb="FF000000"/>
      <name val="Cambria"/>
      <family val="1"/>
      <charset val="204"/>
    </font>
    <font>
      <b/>
      <sz val="11"/>
      <color rgb="FF000000"/>
      <name val="Cambria"/>
      <family val="1"/>
      <charset val="204"/>
    </font>
    <font>
      <b/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8"/>
      <name val="Calibri"/>
      <family val="2"/>
      <charset val="204"/>
      <scheme val="minor"/>
    </font>
    <font>
      <b/>
      <vertAlign val="superscript"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theme="1"/>
      <name val="Times New Roman"/>
      <family val="2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9E2F3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0" fontId="4" fillId="3" borderId="3" xfId="0" applyFont="1" applyFill="1" applyBorder="1"/>
    <xf numFmtId="0" fontId="0" fillId="0" borderId="3" xfId="0" applyBorder="1"/>
    <xf numFmtId="2" fontId="0" fillId="0" borderId="3" xfId="0" applyNumberFormat="1" applyBorder="1"/>
    <xf numFmtId="0" fontId="4" fillId="0" borderId="0" xfId="0" applyFont="1"/>
    <xf numFmtId="0" fontId="0" fillId="0" borderId="4" xfId="0" applyBorder="1"/>
    <xf numFmtId="0" fontId="6" fillId="3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/>
    </xf>
    <xf numFmtId="2" fontId="0" fillId="0" borderId="4" xfId="0" applyNumberFormat="1" applyBorder="1"/>
    <xf numFmtId="0" fontId="9" fillId="3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7" xfId="0" applyBorder="1"/>
    <xf numFmtId="166" fontId="12" fillId="0" borderId="1" xfId="0" applyNumberFormat="1" applyFont="1" applyBorder="1"/>
    <xf numFmtId="164" fontId="12" fillId="0" borderId="1" xfId="0" applyNumberFormat="1" applyFont="1" applyBorder="1"/>
    <xf numFmtId="0" fontId="7" fillId="2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0" fillId="3" borderId="1" xfId="0" applyFont="1" applyFill="1" applyBorder="1" applyAlignment="1">
      <alignment horizontal="right"/>
    </xf>
    <xf numFmtId="0" fontId="11" fillId="3" borderId="9" xfId="0" applyFont="1" applyFill="1" applyBorder="1" applyAlignment="1">
      <alignment horizontal="right"/>
    </xf>
    <xf numFmtId="0" fontId="1" fillId="3" borderId="10" xfId="0" applyFont="1" applyFill="1" applyBorder="1" applyAlignment="1">
      <alignment horizontal="right"/>
    </xf>
    <xf numFmtId="1" fontId="0" fillId="0" borderId="13" xfId="0" applyNumberFormat="1" applyBorder="1"/>
    <xf numFmtId="0" fontId="0" fillId="0" borderId="14" xfId="0" applyBorder="1" applyAlignment="1">
      <alignment horizontal="right"/>
    </xf>
    <xf numFmtId="0" fontId="10" fillId="3" borderId="10" xfId="0" applyFont="1" applyFill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16" fillId="3" borderId="1" xfId="0" applyFont="1" applyFill="1" applyBorder="1" applyAlignment="1">
      <alignment horizontal="right" vertical="center"/>
    </xf>
    <xf numFmtId="168" fontId="0" fillId="0" borderId="1" xfId="0" applyNumberFormat="1" applyBorder="1"/>
    <xf numFmtId="166" fontId="0" fillId="0" borderId="3" xfId="0" applyNumberFormat="1" applyBorder="1"/>
    <xf numFmtId="166" fontId="0" fillId="0" borderId="0" xfId="0" applyNumberFormat="1"/>
    <xf numFmtId="0" fontId="6" fillId="0" borderId="4" xfId="0" applyFont="1" applyBorder="1" applyAlignment="1">
      <alignment horizontal="center" vertical="center"/>
    </xf>
    <xf numFmtId="166" fontId="0" fillId="0" borderId="4" xfId="0" applyNumberFormat="1" applyBorder="1"/>
    <xf numFmtId="0" fontId="16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5" fontId="0" fillId="0" borderId="12" xfId="0" applyNumberFormat="1" applyBorder="1"/>
    <xf numFmtId="11" fontId="0" fillId="0" borderId="15" xfId="0" applyNumberFormat="1" applyBorder="1"/>
    <xf numFmtId="167" fontId="0" fillId="0" borderId="11" xfId="0" applyNumberFormat="1" applyBorder="1"/>
    <xf numFmtId="0" fontId="9" fillId="3" borderId="7" xfId="0" applyFont="1" applyFill="1" applyBorder="1" applyAlignment="1">
      <alignment horizontal="center" vertical="center"/>
    </xf>
    <xf numFmtId="2" fontId="0" fillId="0" borderId="7" xfId="0" applyNumberFormat="1" applyBorder="1"/>
    <xf numFmtId="169" fontId="0" fillId="0" borderId="1" xfId="0" applyNumberFormat="1" applyBorder="1"/>
    <xf numFmtId="0" fontId="1" fillId="0" borderId="0" xfId="0" applyFont="1"/>
    <xf numFmtId="0" fontId="2" fillId="3" borderId="7" xfId="0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1" fontId="12" fillId="0" borderId="1" xfId="0" applyNumberFormat="1" applyFont="1" applyBorder="1" applyAlignment="1">
      <alignment wrapText="1"/>
    </xf>
    <xf numFmtId="0" fontId="10" fillId="3" borderId="16" xfId="0" applyFont="1" applyFill="1" applyBorder="1" applyAlignment="1">
      <alignment horizontal="right"/>
    </xf>
    <xf numFmtId="165" fontId="0" fillId="0" borderId="0" xfId="0" applyNumberFormat="1"/>
    <xf numFmtId="165" fontId="0" fillId="0" borderId="6" xfId="0" applyNumberFormat="1" applyBorder="1"/>
    <xf numFmtId="165" fontId="0" fillId="0" borderId="5" xfId="0" applyNumberFormat="1" applyBorder="1"/>
    <xf numFmtId="0" fontId="0" fillId="0" borderId="0" xfId="0" applyAlignment="1">
      <alignment horizontal="right" vertical="center"/>
    </xf>
    <xf numFmtId="165" fontId="0" fillId="0" borderId="18" xfId="0" applyNumberFormat="1" applyBorder="1"/>
    <xf numFmtId="164" fontId="0" fillId="0" borderId="7" xfId="0" applyNumberFormat="1" applyBorder="1"/>
    <xf numFmtId="0" fontId="4" fillId="0" borderId="1" xfId="0" applyFont="1" applyBorder="1"/>
    <xf numFmtId="0" fontId="4" fillId="0" borderId="17" xfId="0" applyFont="1" applyBorder="1"/>
    <xf numFmtId="0" fontId="17" fillId="0" borderId="19" xfId="0" applyFont="1" applyBorder="1" applyAlignment="1">
      <alignment horizontal="right" vertical="center"/>
    </xf>
    <xf numFmtId="0" fontId="17" fillId="0" borderId="20" xfId="0" applyFont="1" applyBorder="1" applyAlignment="1">
      <alignment horizontal="right" vertical="center"/>
    </xf>
    <xf numFmtId="0" fontId="18" fillId="0" borderId="0" xfId="0" applyFont="1"/>
    <xf numFmtId="166" fontId="12" fillId="0" borderId="1" xfId="0" applyNumberFormat="1" applyFont="1" applyBorder="1" applyAlignment="1">
      <alignment wrapText="1"/>
    </xf>
    <xf numFmtId="165" fontId="12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Лист1!$M$2:$M$7</c:f>
              <c:numCache>
                <c:formatCode>General</c:formatCode>
                <c:ptCount val="6"/>
                <c:pt idx="0">
                  <c:v>0</c:v>
                </c:pt>
                <c:pt idx="1">
                  <c:v>33.85</c:v>
                </c:pt>
                <c:pt idx="2">
                  <c:v>74.97</c:v>
                </c:pt>
                <c:pt idx="3">
                  <c:v>121.91</c:v>
                </c:pt>
                <c:pt idx="4">
                  <c:v>181.39</c:v>
                </c:pt>
                <c:pt idx="5">
                  <c:v>251.18</c:v>
                </c:pt>
              </c:numCache>
            </c:numRef>
          </c:xVal>
          <c:yVal>
            <c:numRef>
              <c:f>Лист1!$N$2:$N$7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D3-4C01-A837-4C8CC9BEE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695440"/>
        <c:axId val="429732552"/>
      </c:scatterChart>
      <c:valAx>
        <c:axId val="429695440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t, c</a:t>
                </a:r>
                <a:endParaRPr lang="ru-RU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732552"/>
        <c:crosses val="autoZero"/>
        <c:crossBetween val="midCat"/>
        <c:majorUnit val="10"/>
        <c:minorUnit val="5"/>
      </c:valAx>
      <c:valAx>
        <c:axId val="429732552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A, °</a:t>
                </a:r>
                <a:endParaRPr lang="ru-RU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69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1501480965848"/>
          <c:y val="6.8156423462818888E-2"/>
          <c:w val="0.85610083491954692"/>
          <c:h val="0.82757949779594908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Лист1!$A$10</c:f>
              <c:strCache>
                <c:ptCount val="1"/>
                <c:pt idx="0">
                  <c:v>T2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Лист1!$B$11:$B$17</c:f>
              <c:numCache>
                <c:formatCode>0.0000</c:formatCode>
                <c:ptCount val="7"/>
                <c:pt idx="0" formatCode="General">
                  <c:v>0</c:v>
                </c:pt>
                <c:pt idx="1">
                  <c:v>3.1905128000000005E-2</c:v>
                </c:pt>
                <c:pt idx="2" formatCode="General">
                  <c:v>3.5556727999999996E-2</c:v>
                </c:pt>
                <c:pt idx="3" formatCode="General">
                  <c:v>4.0228328000000001E-2</c:v>
                </c:pt>
                <c:pt idx="4" formatCode="General">
                  <c:v>4.5919927999999999E-2</c:v>
                </c:pt>
                <c:pt idx="5" formatCode="General">
                  <c:v>5.2631527999999997E-2</c:v>
                </c:pt>
                <c:pt idx="6" formatCode="General">
                  <c:v>6.0363128000000016E-2</c:v>
                </c:pt>
              </c:numCache>
            </c:numRef>
          </c:xVal>
          <c:yVal>
            <c:numRef>
              <c:f>Лист1!$A$11:$A$17</c:f>
              <c:numCache>
                <c:formatCode>0\.000</c:formatCode>
                <c:ptCount val="7"/>
                <c:pt idx="0" formatCode="General">
                  <c:v>0</c:v>
                </c:pt>
                <c:pt idx="1">
                  <c:v>2.3256249999999996</c:v>
                </c:pt>
                <c:pt idx="2">
                  <c:v>2.5985440000000004</c:v>
                </c:pt>
                <c:pt idx="3">
                  <c:v>2.9002090000000003</c:v>
                </c:pt>
                <c:pt idx="4">
                  <c:v>3.2508089999999998</c:v>
                </c:pt>
                <c:pt idx="5">
                  <c:v>3.7791359999999998</c:v>
                </c:pt>
                <c:pt idx="6">
                  <c:v>4.1371559999999992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91-44E3-BF93-B830B5EEE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234584"/>
        <c:axId val="43048797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Лист1!$A$20:$A$25</c15:sqref>
                        </c15:formulaRef>
                      </c:ext>
                    </c:extLst>
                    <c:numCache>
                      <c:formatCode>0.0000</c:formatCode>
                      <c:ptCount val="6"/>
                      <c:pt idx="0">
                        <c:v>3.1905128000000005E-2</c:v>
                      </c:pt>
                      <c:pt idx="1">
                        <c:v>3.5556727999999996E-2</c:v>
                      </c:pt>
                      <c:pt idx="2">
                        <c:v>4.0228328000000001E-2</c:v>
                      </c:pt>
                      <c:pt idx="3">
                        <c:v>4.5919927999999999E-2</c:v>
                      </c:pt>
                      <c:pt idx="4">
                        <c:v>5.2631527999999997E-2</c:v>
                      </c:pt>
                      <c:pt idx="5">
                        <c:v>6.0363128000000016E-2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Лист1!$B$20:$B$25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2.2369437068545657</c:v>
                      </c:pt>
                      <c:pt idx="1">
                        <c:v>2.4929659876600248</c:v>
                      </c:pt>
                      <c:pt idx="2">
                        <c:v>2.8205028720424283</c:v>
                      </c:pt>
                      <c:pt idx="3">
                        <c:v>3.219554360001776</c:v>
                      </c:pt>
                      <c:pt idx="4">
                        <c:v>3.6901204515380672</c:v>
                      </c:pt>
                      <c:pt idx="5">
                        <c:v>4.2322011466513043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1E91-44E3-BF93-B830B5EEE484}"/>
                  </c:ext>
                </c:extLst>
              </c15:ser>
            </c15:filteredScatterSeries>
          </c:ext>
        </c:extLst>
      </c:scatterChart>
      <c:valAx>
        <c:axId val="431234584"/>
        <c:scaling>
          <c:orientation val="minMax"/>
          <c:max val="7.0000000000000007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I, </a:t>
                </a:r>
                <a:r>
                  <a:rPr lang="ru-RU" b="1"/>
                  <a:t>кг⋅м</a:t>
                </a:r>
                <a:r>
                  <a:rPr lang="en-US" b="1" baseline="30000"/>
                  <a:t>2</a:t>
                </a:r>
                <a:endParaRPr lang="ru-RU" b="1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487976"/>
        <c:crosses val="autoZero"/>
        <c:crossBetween val="midCat"/>
        <c:majorUnit val="0.01"/>
      </c:valAx>
      <c:valAx>
        <c:axId val="43048797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</a:t>
                </a:r>
                <a:r>
                  <a:rPr lang="en-US" b="1" baseline="30000"/>
                  <a:t>2</a:t>
                </a:r>
                <a:r>
                  <a:rPr lang="en-US" b="1"/>
                  <a:t>,</a:t>
                </a:r>
                <a:r>
                  <a:rPr lang="ru-RU" b="1"/>
                  <a:t> с</a:t>
                </a:r>
                <a:r>
                  <a:rPr lang="en-US" b="1" baseline="30000"/>
                  <a:t>2</a:t>
                </a:r>
                <a:endParaRPr lang="ru-RU" b="1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23458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Лист1!$M$2:$M$7</c:f>
              <c:numCache>
                <c:formatCode>General</c:formatCode>
                <c:ptCount val="6"/>
                <c:pt idx="0">
                  <c:v>0</c:v>
                </c:pt>
                <c:pt idx="1">
                  <c:v>33.85</c:v>
                </c:pt>
                <c:pt idx="2">
                  <c:v>74.97</c:v>
                </c:pt>
                <c:pt idx="3">
                  <c:v>121.91</c:v>
                </c:pt>
                <c:pt idx="4">
                  <c:v>181.39</c:v>
                </c:pt>
                <c:pt idx="5">
                  <c:v>251.18</c:v>
                </c:pt>
              </c:numCache>
            </c:numRef>
          </c:xVal>
          <c:yVal>
            <c:numRef>
              <c:f>Лист1!$O$2:$O$7</c:f>
              <c:numCache>
                <c:formatCode>0.000</c:formatCode>
                <c:ptCount val="6"/>
                <c:pt idx="0">
                  <c:v>0</c:v>
                </c:pt>
                <c:pt idx="1">
                  <c:v>-0.18232155679395459</c:v>
                </c:pt>
                <c:pt idx="2">
                  <c:v>-0.40546510810816444</c:v>
                </c:pt>
                <c:pt idx="3">
                  <c:v>-0.69314718055994529</c:v>
                </c:pt>
                <c:pt idx="4">
                  <c:v>-1.0986122886681098</c:v>
                </c:pt>
                <c:pt idx="5">
                  <c:v>-1.791759469228055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13-436D-8EEC-80B5BFE8EC5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Лист1!$M$2:$M$7</c:f>
              <c:numCache>
                <c:formatCode>General</c:formatCode>
                <c:ptCount val="6"/>
                <c:pt idx="0">
                  <c:v>0</c:v>
                </c:pt>
                <c:pt idx="1">
                  <c:v>33.85</c:v>
                </c:pt>
                <c:pt idx="2">
                  <c:v>74.97</c:v>
                </c:pt>
                <c:pt idx="3">
                  <c:v>121.91</c:v>
                </c:pt>
                <c:pt idx="4">
                  <c:v>181.39</c:v>
                </c:pt>
                <c:pt idx="5">
                  <c:v>251.18</c:v>
                </c:pt>
              </c:numCache>
            </c:numRef>
          </c:xVal>
          <c:yVal>
            <c:numRef>
              <c:f>Лист1!$O$2:$O$7</c:f>
              <c:numCache>
                <c:formatCode>0.000</c:formatCode>
                <c:ptCount val="6"/>
                <c:pt idx="0">
                  <c:v>0</c:v>
                </c:pt>
                <c:pt idx="1">
                  <c:v>-0.18232155679395459</c:v>
                </c:pt>
                <c:pt idx="2">
                  <c:v>-0.40546510810816444</c:v>
                </c:pt>
                <c:pt idx="3">
                  <c:v>-0.69314718055994529</c:v>
                </c:pt>
                <c:pt idx="4">
                  <c:v>-1.0986122886681098</c:v>
                </c:pt>
                <c:pt idx="5">
                  <c:v>-1.791759469228055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13-436D-8EEC-80B5BFE8E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500232"/>
        <c:axId val="430500616"/>
      </c:scatterChart>
      <c:valAx>
        <c:axId val="4305002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t, c</a:t>
                </a:r>
                <a:endParaRPr lang="ru-RU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500616"/>
        <c:crosses val="max"/>
        <c:crossBetween val="midCat"/>
      </c:valAx>
      <c:valAx>
        <c:axId val="430500616"/>
        <c:scaling>
          <c:orientation val="minMax"/>
          <c:max val="0"/>
          <c:min val="-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ln(A/A</a:t>
                </a:r>
                <a:r>
                  <a:rPr lang="en-US" b="1" baseline="-25000"/>
                  <a:t>0</a:t>
                </a:r>
                <a:r>
                  <a:rPr lang="en-US" b="1"/>
                  <a:t>)</a:t>
                </a:r>
                <a:endParaRPr lang="ru-RU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500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Лист1!$AJ$1</c:f>
              <c:strCache>
                <c:ptCount val="1"/>
                <c:pt idx="0">
                  <c:v>ln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Лист1!$AH$2:$AH$7</c:f>
              <c:numCache>
                <c:formatCode>General</c:formatCode>
                <c:ptCount val="6"/>
                <c:pt idx="0">
                  <c:v>0</c:v>
                </c:pt>
                <c:pt idx="1">
                  <c:v>41.983333333333334</c:v>
                </c:pt>
                <c:pt idx="2">
                  <c:v>95.009999999999991</c:v>
                </c:pt>
                <c:pt idx="3">
                  <c:v>160.32333333333335</c:v>
                </c:pt>
                <c:pt idx="4">
                  <c:v>229.04</c:v>
                </c:pt>
                <c:pt idx="5">
                  <c:v>312.29666666666668</c:v>
                </c:pt>
              </c:numCache>
            </c:numRef>
          </c:xVal>
          <c:yVal>
            <c:numRef>
              <c:f>Лист1!$AJ$2:$AJ$7</c:f>
              <c:numCache>
                <c:formatCode>General</c:formatCode>
                <c:ptCount val="6"/>
                <c:pt idx="0">
                  <c:v>-2.0249533563957662</c:v>
                </c:pt>
                <c:pt idx="1">
                  <c:v>-2.1169960530661691</c:v>
                </c:pt>
                <c:pt idx="2">
                  <c:v>-2.2228222260213402</c:v>
                </c:pt>
                <c:pt idx="3">
                  <c:v>-2.3452540340978838</c:v>
                </c:pt>
                <c:pt idx="4">
                  <c:v>-2.488345837218652</c:v>
                </c:pt>
                <c:pt idx="5">
                  <c:v>-2.6582125655489719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C-1A48-8057-0C30C35A5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642408"/>
        <c:axId val="431314360"/>
      </c:scatterChart>
      <c:valAx>
        <c:axId val="430642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314360"/>
        <c:crosses val="autoZero"/>
        <c:crossBetween val="midCat"/>
      </c:valAx>
      <c:valAx>
        <c:axId val="43131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642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Лист1!$V$33</c:f>
              <c:strCache>
                <c:ptCount val="1"/>
                <c:pt idx="0">
                  <c:v>T2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Лист1!$U$34:$U$40</c:f>
              <c:numCache>
                <c:formatCode>0.0000</c:formatCode>
                <c:ptCount val="7"/>
                <c:pt idx="0" formatCode="General">
                  <c:v>0</c:v>
                </c:pt>
                <c:pt idx="1">
                  <c:v>3.1905128000000005E-2</c:v>
                </c:pt>
                <c:pt idx="2">
                  <c:v>3.5556727999999996E-2</c:v>
                </c:pt>
                <c:pt idx="3">
                  <c:v>4.0228328000000001E-2</c:v>
                </c:pt>
                <c:pt idx="4">
                  <c:v>4.5919927999999999E-2</c:v>
                </c:pt>
                <c:pt idx="5">
                  <c:v>5.2631527999999997E-2</c:v>
                </c:pt>
                <c:pt idx="6">
                  <c:v>6.0363128000000016E-2</c:v>
                </c:pt>
              </c:numCache>
            </c:numRef>
          </c:xVal>
          <c:yVal>
            <c:numRef>
              <c:f>Лист1!$V$34:$V$40</c:f>
              <c:numCache>
                <c:formatCode>General</c:formatCode>
                <c:ptCount val="7"/>
                <c:pt idx="0">
                  <c:v>0</c:v>
                </c:pt>
                <c:pt idx="1">
                  <c:v>2.2369437068545657</c:v>
                </c:pt>
                <c:pt idx="2">
                  <c:v>2.4929659876600248</c:v>
                </c:pt>
                <c:pt idx="3">
                  <c:v>2.8205028720424283</c:v>
                </c:pt>
                <c:pt idx="4">
                  <c:v>3.219554360001776</c:v>
                </c:pt>
                <c:pt idx="5">
                  <c:v>3.6901204515380672</c:v>
                </c:pt>
                <c:pt idx="6">
                  <c:v>4.2322011466513043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A-3C49-BCE5-5298360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018984"/>
        <c:axId val="431023472"/>
      </c:scatterChart>
      <c:valAx>
        <c:axId val="431018984"/>
        <c:scaling>
          <c:orientation val="minMax"/>
          <c:max val="7.000000000000000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023472"/>
        <c:crosses val="autoZero"/>
        <c:crossBetween val="midCat"/>
        <c:majorUnit val="1.0000000000000002E-2"/>
      </c:valAx>
      <c:valAx>
        <c:axId val="43102347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0189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78585</xdr:colOff>
      <xdr:row>0</xdr:row>
      <xdr:rowOff>285750</xdr:rowOff>
    </xdr:from>
    <xdr:to>
      <xdr:col>30</xdr:col>
      <xdr:colOff>219808</xdr:colOff>
      <xdr:row>18</xdr:row>
      <xdr:rowOff>58616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21094A4-F08E-1774-41E6-5D12E813C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389282</xdr:colOff>
      <xdr:row>27</xdr:row>
      <xdr:rowOff>282</xdr:rowOff>
    </xdr:from>
    <xdr:to>
      <xdr:col>19</xdr:col>
      <xdr:colOff>405847</xdr:colOff>
      <xdr:row>51</xdr:row>
      <xdr:rowOff>131536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9A7AEC1-3F33-B71F-B460-8F3551FE4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27979</xdr:colOff>
      <xdr:row>18</xdr:row>
      <xdr:rowOff>166099</xdr:rowOff>
    </xdr:from>
    <xdr:to>
      <xdr:col>33</xdr:col>
      <xdr:colOff>339129</xdr:colOff>
      <xdr:row>35</xdr:row>
      <xdr:rowOff>59024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FDF844D-2476-E406-4B38-78E46FB70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67498</xdr:colOff>
      <xdr:row>0</xdr:row>
      <xdr:rowOff>142630</xdr:rowOff>
    </xdr:from>
    <xdr:to>
      <xdr:col>42</xdr:col>
      <xdr:colOff>589708</xdr:colOff>
      <xdr:row>12</xdr:row>
      <xdr:rowOff>70515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D079C44-1E10-9489-7303-2B309B55C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373606</xdr:colOff>
      <xdr:row>37</xdr:row>
      <xdr:rowOff>299832</xdr:rowOff>
    </xdr:from>
    <xdr:to>
      <xdr:col>31</xdr:col>
      <xdr:colOff>281608</xdr:colOff>
      <xdr:row>56</xdr:row>
      <xdr:rowOff>132522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7E6F7A8-B356-B356-65F0-52F188759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6"/>
  <sheetViews>
    <sheetView tabSelected="1" zoomScale="115" zoomScaleNormal="115" workbookViewId="0">
      <selection activeCell="N55" sqref="N55"/>
    </sheetView>
  </sheetViews>
  <sheetFormatPr defaultColWidth="8.85546875" defaultRowHeight="15" x14ac:dyDescent="0.25"/>
  <cols>
    <col min="1" max="1" width="13.42578125" customWidth="1"/>
    <col min="2" max="2" width="10.140625" customWidth="1"/>
    <col min="3" max="3" width="8.85546875" bestFit="1" customWidth="1"/>
    <col min="4" max="4" width="21.85546875" customWidth="1"/>
    <col min="5" max="5" width="13" bestFit="1" customWidth="1"/>
    <col min="6" max="9" width="9.5703125" bestFit="1" customWidth="1"/>
    <col min="10" max="10" width="8.85546875" bestFit="1" customWidth="1"/>
    <col min="12" max="12" width="10.140625" customWidth="1"/>
    <col min="13" max="13" width="10.28515625" bestFit="1" customWidth="1"/>
    <col min="14" max="14" width="11.7109375" customWidth="1"/>
    <col min="15" max="15" width="15.140625" customWidth="1"/>
    <col min="16" max="18" width="8.85546875" bestFit="1" customWidth="1"/>
    <col min="21" max="22" width="8.85546875" bestFit="1" customWidth="1"/>
  </cols>
  <sheetData>
    <row r="1" spans="1:36" ht="30.6" customHeight="1" x14ac:dyDescent="0.25">
      <c r="A1" s="4" t="s">
        <v>1</v>
      </c>
      <c r="B1" s="1">
        <v>16.86</v>
      </c>
      <c r="D1" s="7" t="s">
        <v>5</v>
      </c>
      <c r="E1" s="12" t="s">
        <v>11</v>
      </c>
      <c r="F1" s="12" t="s">
        <v>7</v>
      </c>
      <c r="G1" s="8" t="s">
        <v>6</v>
      </c>
      <c r="H1" s="8" t="s">
        <v>8</v>
      </c>
      <c r="I1" s="12" t="s">
        <v>9</v>
      </c>
      <c r="J1" s="12" t="s">
        <v>10</v>
      </c>
      <c r="K1" s="15"/>
      <c r="L1" s="20" t="s">
        <v>16</v>
      </c>
      <c r="M1" s="20" t="s">
        <v>0</v>
      </c>
      <c r="N1" s="20" t="s">
        <v>15</v>
      </c>
      <c r="O1" s="20" t="s">
        <v>41</v>
      </c>
      <c r="P1" s="20" t="s">
        <v>41</v>
      </c>
      <c r="AH1" t="s">
        <v>0</v>
      </c>
      <c r="AI1" t="s">
        <v>15</v>
      </c>
      <c r="AJ1" t="s">
        <v>74</v>
      </c>
    </row>
    <row r="2" spans="1:36" ht="18.75" x14ac:dyDescent="0.25">
      <c r="A2" s="4" t="s">
        <v>2</v>
      </c>
      <c r="B2" s="1">
        <v>16.899999999999999</v>
      </c>
      <c r="D2" s="6" t="s">
        <v>1</v>
      </c>
      <c r="E2" s="13">
        <v>0</v>
      </c>
      <c r="F2" s="1">
        <v>32.07</v>
      </c>
      <c r="G2" s="1">
        <v>73.06</v>
      </c>
      <c r="H2" s="1">
        <v>118.25</v>
      </c>
      <c r="I2" s="1">
        <v>175.75</v>
      </c>
      <c r="J2" s="1">
        <v>252.04</v>
      </c>
      <c r="K2" s="16"/>
      <c r="L2" s="70">
        <v>0.52359877600000004</v>
      </c>
      <c r="M2" s="70">
        <v>0</v>
      </c>
      <c r="N2" s="70">
        <v>30</v>
      </c>
      <c r="O2" s="77">
        <f>LOG(N2/$N$2, EXP(1))</f>
        <v>0</v>
      </c>
      <c r="P2" s="70">
        <v>0</v>
      </c>
      <c r="AH2">
        <v>0</v>
      </c>
      <c r="AI2">
        <v>0.13200000000000001</v>
      </c>
      <c r="AJ2">
        <f>LN(AI2)</f>
        <v>-2.0249533563957662</v>
      </c>
    </row>
    <row r="3" spans="1:36" ht="18.75" x14ac:dyDescent="0.25">
      <c r="A3" s="4" t="s">
        <v>3</v>
      </c>
      <c r="B3" s="1">
        <v>16.79</v>
      </c>
      <c r="D3" s="4" t="s">
        <v>2</v>
      </c>
      <c r="E3" s="13">
        <v>0</v>
      </c>
      <c r="F3" s="1">
        <v>34.43</v>
      </c>
      <c r="G3" s="1">
        <v>74.739999999999995</v>
      </c>
      <c r="H3" s="1">
        <v>123.03</v>
      </c>
      <c r="I3" s="1">
        <v>187.51</v>
      </c>
      <c r="J3" s="1">
        <v>252.5</v>
      </c>
      <c r="K3" s="16"/>
      <c r="L3" s="70">
        <v>0.43633231300000003</v>
      </c>
      <c r="M3" s="74">
        <v>33.85</v>
      </c>
      <c r="N3" s="70">
        <v>25</v>
      </c>
      <c r="O3" s="77">
        <f>LOG(N3/$N$2, EXP(1))</f>
        <v>-0.18232155679395459</v>
      </c>
      <c r="P3" s="70">
        <v>-9.6293332999999995E-2</v>
      </c>
      <c r="AH3">
        <v>41.983333333333334</v>
      </c>
      <c r="AI3">
        <v>0.12039273926110491</v>
      </c>
      <c r="AJ3">
        <f t="shared" ref="AJ3:AJ7" si="0">LN(AI3)</f>
        <v>-2.1169960530661691</v>
      </c>
    </row>
    <row r="4" spans="1:36" ht="18.75" x14ac:dyDescent="0.25">
      <c r="A4" s="18" t="s">
        <v>12</v>
      </c>
      <c r="B4" s="1">
        <f>AVERAGE(B1:B3)</f>
        <v>16.849999999999998</v>
      </c>
      <c r="D4" s="4" t="s">
        <v>3</v>
      </c>
      <c r="E4" s="13">
        <v>0</v>
      </c>
      <c r="F4" s="1">
        <v>35.04</v>
      </c>
      <c r="G4" s="1">
        <v>77.12</v>
      </c>
      <c r="H4" s="1">
        <v>124.44</v>
      </c>
      <c r="I4" s="1">
        <v>180.9</v>
      </c>
      <c r="J4" s="1">
        <v>249.01</v>
      </c>
      <c r="K4" s="16"/>
      <c r="L4" s="70">
        <v>0.34906585000000001</v>
      </c>
      <c r="M4" s="70">
        <v>74.97</v>
      </c>
      <c r="N4" s="70">
        <v>20</v>
      </c>
      <c r="O4" s="77">
        <f t="shared" ref="O4:O7" si="1">LOG(N4/$N$2, EXP(1))</f>
        <v>-0.40546510810816444</v>
      </c>
      <c r="P4" s="70">
        <v>-0.17510666699999999</v>
      </c>
      <c r="AH4">
        <v>95.009999999999991</v>
      </c>
      <c r="AI4">
        <v>0.10830302149885032</v>
      </c>
      <c r="AJ4">
        <f t="shared" si="0"/>
        <v>-2.2228222260213402</v>
      </c>
    </row>
    <row r="5" spans="1:36" ht="15.75" x14ac:dyDescent="0.25">
      <c r="A5" s="17" t="s">
        <v>14</v>
      </c>
      <c r="B5" s="1">
        <v>10</v>
      </c>
      <c r="D5" s="18" t="s">
        <v>12</v>
      </c>
      <c r="E5" s="14">
        <f t="shared" ref="E5:J5" si="2">AVERAGE(E2:E4)</f>
        <v>0</v>
      </c>
      <c r="F5" s="14">
        <f t="shared" si="2"/>
        <v>33.846666666666664</v>
      </c>
      <c r="G5" s="1">
        <f t="shared" si="2"/>
        <v>74.973333333333343</v>
      </c>
      <c r="H5" s="11">
        <f t="shared" si="2"/>
        <v>121.90666666666668</v>
      </c>
      <c r="I5" s="1">
        <f t="shared" si="2"/>
        <v>181.38666666666666</v>
      </c>
      <c r="J5" s="14">
        <f t="shared" si="2"/>
        <v>251.18333333333331</v>
      </c>
      <c r="K5" s="19"/>
      <c r="L5" s="70">
        <v>0.26179938800000002</v>
      </c>
      <c r="M5" s="70">
        <v>121.91</v>
      </c>
      <c r="N5" s="70">
        <v>15</v>
      </c>
      <c r="O5" s="77">
        <f t="shared" si="1"/>
        <v>-0.69314718055994529</v>
      </c>
      <c r="P5" s="70">
        <v>-0.26257333300000002</v>
      </c>
      <c r="AH5">
        <v>160.32333333333335</v>
      </c>
      <c r="AI5">
        <v>9.582285676537812E-2</v>
      </c>
      <c r="AJ5">
        <f t="shared" si="0"/>
        <v>-2.3452540340978838</v>
      </c>
    </row>
    <row r="6" spans="1:36" ht="15.75" x14ac:dyDescent="0.25">
      <c r="A6" s="17" t="s">
        <v>13</v>
      </c>
      <c r="B6" s="1">
        <f>B4/B5</f>
        <v>1.6849999999999998</v>
      </c>
      <c r="L6" s="70">
        <v>0.17453292500000001</v>
      </c>
      <c r="M6" s="70">
        <v>181.39</v>
      </c>
      <c r="N6" s="70">
        <v>10</v>
      </c>
      <c r="O6" s="77">
        <f t="shared" si="1"/>
        <v>-1.0986122886681098</v>
      </c>
      <c r="P6" s="70">
        <v>-0.38032666700000001</v>
      </c>
      <c r="AH6">
        <v>229.04</v>
      </c>
      <c r="AI6">
        <v>8.3047226650039552E-2</v>
      </c>
      <c r="AJ6">
        <f t="shared" si="0"/>
        <v>-2.488345837218652</v>
      </c>
    </row>
    <row r="7" spans="1:36" x14ac:dyDescent="0.25">
      <c r="D7" s="23" t="s">
        <v>24</v>
      </c>
      <c r="E7" s="22">
        <v>1</v>
      </c>
      <c r="F7" s="22">
        <v>2</v>
      </c>
      <c r="G7" s="2">
        <v>3</v>
      </c>
      <c r="H7" s="22">
        <v>4</v>
      </c>
      <c r="I7" s="22">
        <v>5</v>
      </c>
      <c r="J7" s="22">
        <v>6</v>
      </c>
      <c r="L7" s="70">
        <v>8.7266463000000002E-2</v>
      </c>
      <c r="M7" s="70">
        <v>251.18</v>
      </c>
      <c r="N7" s="70">
        <v>5</v>
      </c>
      <c r="O7" s="77">
        <f t="shared" si="1"/>
        <v>-1.791759469228055</v>
      </c>
      <c r="P7" s="70">
        <v>-0.50546666699999998</v>
      </c>
      <c r="AH7">
        <v>312.29666666666668</v>
      </c>
      <c r="AI7">
        <v>7.0073361412148732E-2</v>
      </c>
      <c r="AJ7">
        <f t="shared" si="0"/>
        <v>-2.6582125655489719</v>
      </c>
    </row>
    <row r="8" spans="1:36" ht="19.5" thickBot="1" x14ac:dyDescent="0.3">
      <c r="A8" s="5" t="s">
        <v>28</v>
      </c>
      <c r="B8" s="1">
        <f>8 * POWER(10,-3)</f>
        <v>8.0000000000000002E-3</v>
      </c>
      <c r="D8" s="5" t="s">
        <v>20</v>
      </c>
      <c r="E8" s="76">
        <v>7.6999999999999999E-2</v>
      </c>
      <c r="F8" s="76"/>
      <c r="G8" s="76"/>
      <c r="H8" s="76"/>
      <c r="I8" s="76"/>
      <c r="J8" s="76"/>
      <c r="N8" s="63" t="s">
        <v>42</v>
      </c>
      <c r="O8" s="71">
        <f>-SUMPRODUCT(M2:M7,O2:O7)/SUMSQ(M2:M7)</f>
        <v>6.5498093415765927E-3</v>
      </c>
    </row>
    <row r="9" spans="1:36" ht="18.75" x14ac:dyDescent="0.25">
      <c r="A9" s="25" t="s">
        <v>29</v>
      </c>
      <c r="B9" s="26">
        <v>0.40799999999999997</v>
      </c>
      <c r="D9" s="5" t="s">
        <v>21</v>
      </c>
      <c r="E9" s="76">
        <v>0.20200000000000001</v>
      </c>
      <c r="F9" s="76"/>
      <c r="G9" s="76"/>
      <c r="H9" s="76"/>
      <c r="I9" s="76"/>
      <c r="J9" s="76"/>
      <c r="L9" s="37" t="s">
        <v>18</v>
      </c>
      <c r="M9" s="51">
        <f>(N2-N7)/M7/4</f>
        <v>2.4882554343498686E-2</v>
      </c>
      <c r="N9" s="40" t="s">
        <v>38</v>
      </c>
      <c r="O9" s="52">
        <f>SUMXMY2(O2:O7,P2:P7)</f>
        <v>2.4163431122403467</v>
      </c>
    </row>
    <row r="10" spans="1:36" ht="19.5" thickBot="1" x14ac:dyDescent="0.3">
      <c r="A10" s="33" t="s">
        <v>36</v>
      </c>
      <c r="B10" s="24" t="s">
        <v>25</v>
      </c>
      <c r="D10" s="5" t="s">
        <v>22</v>
      </c>
      <c r="E10" s="75">
        <v>7.6999999999999999E-2</v>
      </c>
      <c r="F10" s="75">
        <v>0.10199999999999999</v>
      </c>
      <c r="G10" s="75">
        <v>0.127</v>
      </c>
      <c r="H10" s="75">
        <v>0.152</v>
      </c>
      <c r="I10" s="75">
        <v>0.17699999999999999</v>
      </c>
      <c r="J10" s="75">
        <v>0.20200000000000001</v>
      </c>
      <c r="L10" s="38" t="s">
        <v>19</v>
      </c>
      <c r="M10" s="39">
        <f>N2/4/M9</f>
        <v>301.416</v>
      </c>
      <c r="N10" s="41" t="s">
        <v>43</v>
      </c>
      <c r="O10" s="53">
        <f>1/O8</f>
        <v>152.67619984787098</v>
      </c>
      <c r="AH10" t="s">
        <v>76</v>
      </c>
      <c r="AI10">
        <v>-2</v>
      </c>
    </row>
    <row r="11" spans="1:36" ht="18.75" x14ac:dyDescent="0.25">
      <c r="A11">
        <v>0</v>
      </c>
      <c r="B11">
        <v>0</v>
      </c>
      <c r="D11" s="5" t="s">
        <v>23</v>
      </c>
      <c r="E11" s="27">
        <f>0.408 * (2*E10*E10 + $E$8*$E$8 + $E$9*$E$9)</f>
        <v>2.3905128000000001E-2</v>
      </c>
      <c r="F11" s="27">
        <f t="shared" ref="F11:J11" si="3">0.408 * (2*F10*F10 + $E$8*$E$8 + $E$9*$E$9)</f>
        <v>2.7556727999999999E-2</v>
      </c>
      <c r="G11" s="27">
        <f t="shared" si="3"/>
        <v>3.2228328000000001E-2</v>
      </c>
      <c r="H11" s="27">
        <f t="shared" si="3"/>
        <v>3.7919927999999999E-2</v>
      </c>
      <c r="I11" s="27">
        <f t="shared" si="3"/>
        <v>4.4631527999999997E-2</v>
      </c>
      <c r="J11" s="27">
        <f t="shared" si="3"/>
        <v>5.2363128000000016E-2</v>
      </c>
      <c r="L11" t="s">
        <v>40</v>
      </c>
      <c r="N11" s="57" t="s">
        <v>44</v>
      </c>
      <c r="O11" s="57" t="s">
        <v>59</v>
      </c>
      <c r="AH11" t="s">
        <v>75</v>
      </c>
      <c r="AI11">
        <f>0.5/229</f>
        <v>2.1834061135371178E-3</v>
      </c>
    </row>
    <row r="12" spans="1:36" ht="15.75" x14ac:dyDescent="0.25">
      <c r="A12" s="10">
        <f>I17^2</f>
        <v>2.3256249999999996</v>
      </c>
      <c r="B12" s="9" cm="1">
        <f t="array" ref="B12:B17">TRANSPOSE($E$12:$J$12)</f>
        <v>3.1905128000000005E-2</v>
      </c>
      <c r="C12" s="27"/>
      <c r="D12" s="5" t="s">
        <v>25</v>
      </c>
      <c r="E12" s="27">
        <f>$B$8+E11</f>
        <v>3.1905128000000005E-2</v>
      </c>
      <c r="F12" s="27">
        <f t="shared" ref="F12:J12" si="4">$B$8+F11</f>
        <v>3.5556727999999996E-2</v>
      </c>
      <c r="G12" s="27">
        <f t="shared" si="4"/>
        <v>4.0228328000000001E-2</v>
      </c>
      <c r="H12" s="27">
        <f t="shared" si="4"/>
        <v>4.5919927999999999E-2</v>
      </c>
      <c r="I12" s="27">
        <f t="shared" si="4"/>
        <v>5.2631527999999997E-2</v>
      </c>
      <c r="J12" s="27">
        <f t="shared" si="4"/>
        <v>6.0363128000000016E-2</v>
      </c>
    </row>
    <row r="13" spans="1:36" ht="18.75" x14ac:dyDescent="0.25">
      <c r="A13" s="10">
        <f t="shared" ref="A13:A17" si="5">I18^2</f>
        <v>2.5985440000000004</v>
      </c>
      <c r="B13" s="1">
        <v>3.5556727999999996E-2</v>
      </c>
      <c r="C13" s="27"/>
      <c r="D13" s="5" t="s">
        <v>26</v>
      </c>
      <c r="E13" s="27">
        <f>($I17 ^ 2) * 9.81 / 4 / PI()^2</f>
        <v>0.57789502807938931</v>
      </c>
      <c r="F13" s="27">
        <f>$I18 ^ 2 * 9.81 / 4 / PI() / PI()</f>
        <v>0.64571272575996963</v>
      </c>
      <c r="G13" s="27">
        <f>$I19 ^ 2 * 9.81 / 4 / PI() / PI()</f>
        <v>0.72067352281261954</v>
      </c>
      <c r="H13" s="27">
        <f>$I20 ^ 2 * 9.81 / 4 / PI() / PI()</f>
        <v>0.80779418794334079</v>
      </c>
      <c r="I13" s="27">
        <f>$I21 ^ 2 * 9.81 / 4 / PI() / PI()</f>
        <v>0.93907827136181943</v>
      </c>
      <c r="J13" s="27">
        <f>$I22 ^ 2 * 9.81 / 4 / PI() / PI()</f>
        <v>1.0280427337979312</v>
      </c>
      <c r="L13" s="29" t="s">
        <v>12</v>
      </c>
      <c r="M13" s="21">
        <f>AVERAGE(M2:M7)</f>
        <v>110.55</v>
      </c>
      <c r="N13" s="4" t="s">
        <v>51</v>
      </c>
      <c r="O13" s="9">
        <f>O2-P2</f>
        <v>0</v>
      </c>
    </row>
    <row r="14" spans="1:36" ht="18.75" x14ac:dyDescent="0.25">
      <c r="A14" s="10">
        <f t="shared" si="5"/>
        <v>2.9002090000000003</v>
      </c>
      <c r="B14" s="1">
        <v>4.0228328000000001E-2</v>
      </c>
      <c r="C14" s="27"/>
      <c r="D14" s="5" t="s">
        <v>27</v>
      </c>
      <c r="E14" s="27">
        <f>E12/$B$26</f>
        <v>0.55585859555376838</v>
      </c>
      <c r="F14" s="27">
        <f t="shared" ref="F14:J14" si="6">F12/$B$26</f>
        <v>0.61947762405364271</v>
      </c>
      <c r="G14" s="27">
        <f t="shared" si="6"/>
        <v>0.7008673309054374</v>
      </c>
      <c r="H14" s="27">
        <f t="shared" si="6"/>
        <v>0.80002771610915213</v>
      </c>
      <c r="I14" s="27">
        <f t="shared" si="6"/>
        <v>0.91695877966478723</v>
      </c>
      <c r="J14" s="27">
        <f t="shared" si="6"/>
        <v>1.0516605215723429</v>
      </c>
      <c r="L14" s="54" t="s">
        <v>50</v>
      </c>
      <c r="M14" s="55">
        <f>AVERAGE(O2:O7)</f>
        <v>-0.69521760055970494</v>
      </c>
      <c r="N14" s="4" t="s">
        <v>52</v>
      </c>
      <c r="O14" s="9">
        <f>O3-P3</f>
        <v>-8.6028223793954597E-2</v>
      </c>
      <c r="P14" s="1"/>
    </row>
    <row r="15" spans="1:36" ht="18.75" x14ac:dyDescent="0.25">
      <c r="A15" s="10">
        <f t="shared" si="5"/>
        <v>3.2508089999999998</v>
      </c>
      <c r="B15" s="1">
        <v>4.5919927999999999E-2</v>
      </c>
      <c r="C15" s="27"/>
      <c r="L15" s="36" t="s">
        <v>42</v>
      </c>
      <c r="M15" s="10">
        <f>(M2*O2 + M3*O3 + M4*O4 + M5*O5 + M6*O6 + M7*O7)/(M2^2 + M3^2 + M4^2 + M5^2 + M6^2 + M7^2)</f>
        <v>-6.5498093415765927E-3</v>
      </c>
      <c r="N15" s="4" t="s">
        <v>53</v>
      </c>
      <c r="O15" s="9">
        <f t="shared" ref="O15:O18" si="7">O4-P4</f>
        <v>-0.23035844110816445</v>
      </c>
    </row>
    <row r="16" spans="1:36" ht="35.65" customHeight="1" thickBot="1" x14ac:dyDescent="0.3">
      <c r="A16" s="10">
        <f t="shared" si="5"/>
        <v>3.7791359999999998</v>
      </c>
      <c r="B16" s="1">
        <v>5.2631527999999997E-2</v>
      </c>
      <c r="C16" s="27"/>
      <c r="D16" s="32" t="s">
        <v>4</v>
      </c>
      <c r="E16" s="5" t="s">
        <v>1</v>
      </c>
      <c r="F16" s="5" t="s">
        <v>2</v>
      </c>
      <c r="G16" s="5" t="s">
        <v>3</v>
      </c>
      <c r="H16" s="29" t="s">
        <v>12</v>
      </c>
      <c r="I16" s="31" t="s">
        <v>13</v>
      </c>
      <c r="N16" s="4" t="s">
        <v>54</v>
      </c>
      <c r="O16" s="9">
        <f t="shared" si="7"/>
        <v>-0.43057384755994527</v>
      </c>
    </row>
    <row r="17" spans="1:18" ht="19.5" thickBot="1" x14ac:dyDescent="0.3">
      <c r="A17" s="10">
        <f t="shared" si="5"/>
        <v>4.1371559999999992</v>
      </c>
      <c r="B17" s="1">
        <v>6.0363128000000016E-2</v>
      </c>
      <c r="C17" s="27"/>
      <c r="D17" s="5" t="s">
        <v>30</v>
      </c>
      <c r="E17" s="1">
        <v>15.34</v>
      </c>
      <c r="F17" s="1">
        <v>15.17</v>
      </c>
      <c r="G17" s="1">
        <v>15.23</v>
      </c>
      <c r="H17" s="72">
        <v>15.25</v>
      </c>
      <c r="I17" s="72">
        <v>1.5249999999999999</v>
      </c>
      <c r="N17" s="4" t="s">
        <v>55</v>
      </c>
      <c r="O17" s="9">
        <f t="shared" si="7"/>
        <v>-0.71828562166810972</v>
      </c>
    </row>
    <row r="18" spans="1:18" ht="19.5" thickBot="1" x14ac:dyDescent="0.3">
      <c r="A18" s="24" t="s">
        <v>25</v>
      </c>
      <c r="B18" s="24" t="s">
        <v>36</v>
      </c>
      <c r="D18" s="5" t="s">
        <v>31</v>
      </c>
      <c r="E18" s="1">
        <v>16.239999999999998</v>
      </c>
      <c r="F18" s="1">
        <v>16.16</v>
      </c>
      <c r="G18" s="1">
        <v>15.95</v>
      </c>
      <c r="H18" s="73">
        <v>16.12</v>
      </c>
      <c r="I18" s="73">
        <v>1.6120000000000001</v>
      </c>
      <c r="N18" s="4" t="s">
        <v>56</v>
      </c>
      <c r="O18" s="9">
        <f t="shared" si="7"/>
        <v>-1.2862928022280551</v>
      </c>
    </row>
    <row r="19" spans="1:18" ht="16.5" thickBot="1" x14ac:dyDescent="0.3">
      <c r="A19" s="42">
        <v>0</v>
      </c>
      <c r="B19" s="1">
        <f>4*PI()*PI() * A19 / 9.81 / $B$26</f>
        <v>0</v>
      </c>
      <c r="D19" s="5" t="s">
        <v>32</v>
      </c>
      <c r="E19" s="1">
        <v>17.05</v>
      </c>
      <c r="F19" s="1">
        <v>17.010000000000002</v>
      </c>
      <c r="G19" s="1">
        <v>17.03</v>
      </c>
      <c r="H19" s="73">
        <v>17.03</v>
      </c>
      <c r="I19" s="73">
        <v>1.7030000000000001</v>
      </c>
      <c r="N19" s="4" t="s">
        <v>58</v>
      </c>
      <c r="O19" s="56">
        <f>SUMSQ(O13:O18)/5/(M2^2 + M3^2 + M4^2 + M5^2 + M6^2 + M7^2)</f>
        <v>4.1086550816784405E-6</v>
      </c>
    </row>
    <row r="20" spans="1:18" ht="16.5" thickBot="1" x14ac:dyDescent="0.3">
      <c r="A20" s="9" cm="1">
        <f t="array" ref="A20:A25">TRANSPOSE($E$12:$J$12)</f>
        <v>3.1905128000000005E-2</v>
      </c>
      <c r="B20" s="1">
        <f>4*PI()*PI()*A20/9.81/ $B$26</f>
        <v>2.2369437068545657</v>
      </c>
      <c r="D20" s="5" t="s">
        <v>33</v>
      </c>
      <c r="E20" s="1">
        <v>17.989999999999998</v>
      </c>
      <c r="F20" s="1">
        <v>17.88</v>
      </c>
      <c r="G20" s="1">
        <v>18.23</v>
      </c>
      <c r="H20" s="73">
        <v>18.03</v>
      </c>
      <c r="I20" s="73">
        <v>1.8029999999999999</v>
      </c>
      <c r="N20" s="4" t="s">
        <v>57</v>
      </c>
      <c r="O20" s="44">
        <f>POWER(4*O19*(M3^2),1/2)</f>
        <v>0.13722666559129817</v>
      </c>
    </row>
    <row r="21" spans="1:18" ht="16.5" thickBot="1" x14ac:dyDescent="0.3">
      <c r="A21" s="9">
        <v>3.5556727999999996E-2</v>
      </c>
      <c r="B21" s="1">
        <f>4*PI()*PI()*A21/9.81/ $B$26</f>
        <v>2.4929659876600248</v>
      </c>
      <c r="D21" s="5" t="s">
        <v>34</v>
      </c>
      <c r="E21" s="1">
        <v>19.23</v>
      </c>
      <c r="F21" s="1">
        <v>19.72</v>
      </c>
      <c r="G21" s="1">
        <v>19.36</v>
      </c>
      <c r="H21" s="73">
        <v>19.440000000000001</v>
      </c>
      <c r="I21" s="73">
        <v>1.944</v>
      </c>
    </row>
    <row r="22" spans="1:18" ht="16.5" thickBot="1" x14ac:dyDescent="0.3">
      <c r="A22" s="9">
        <v>4.0228328000000001E-2</v>
      </c>
      <c r="B22" s="1">
        <f t="shared" ref="B22:B25" si="8">4*PI()*PI()*A22/9.81/ $B$26</f>
        <v>2.8205028720424283</v>
      </c>
      <c r="D22" s="5" t="s">
        <v>35</v>
      </c>
      <c r="E22" s="1">
        <v>20.350000000000001</v>
      </c>
      <c r="F22" s="1">
        <v>20.309999999999999</v>
      </c>
      <c r="G22" s="1">
        <v>20.37</v>
      </c>
      <c r="H22" s="73">
        <v>20.34</v>
      </c>
      <c r="I22" s="73">
        <v>2.0339999999999998</v>
      </c>
      <c r="L22" s="5" t="s">
        <v>24</v>
      </c>
      <c r="M22" s="62">
        <v>1</v>
      </c>
      <c r="N22" s="62">
        <v>2</v>
      </c>
      <c r="O22" s="62">
        <v>3</v>
      </c>
      <c r="P22" s="62">
        <v>4</v>
      </c>
      <c r="Q22" s="62">
        <v>5</v>
      </c>
      <c r="R22" s="62">
        <v>6</v>
      </c>
    </row>
    <row r="23" spans="1:18" ht="15.75" x14ac:dyDescent="0.25">
      <c r="A23" s="9">
        <v>4.5919927999999999E-2</v>
      </c>
      <c r="B23" s="1">
        <f t="shared" si="8"/>
        <v>3.219554360001776</v>
      </c>
      <c r="L23" s="58" t="s">
        <v>17</v>
      </c>
      <c r="M23" s="69">
        <f t="shared" ref="M23:R23" si="9">POWER((0.0005)^2 + ((M22-1)*0.0002)^2 + (1/2*0.0005)^2,1/2)</f>
        <v>5.5901699437494736E-4</v>
      </c>
      <c r="N23" s="69">
        <f t="shared" si="9"/>
        <v>5.9371710435189584E-4</v>
      </c>
      <c r="O23" s="69">
        <f t="shared" si="9"/>
        <v>6.8738635424337596E-4</v>
      </c>
      <c r="P23" s="69">
        <f t="shared" si="9"/>
        <v>8.2006097334283629E-4</v>
      </c>
      <c r="Q23" s="69">
        <f t="shared" si="9"/>
        <v>9.759610647971567E-4</v>
      </c>
      <c r="R23" s="69">
        <f t="shared" si="9"/>
        <v>1.1456439237389599E-3</v>
      </c>
    </row>
    <row r="24" spans="1:18" ht="45" x14ac:dyDescent="0.25">
      <c r="A24" s="9">
        <v>5.2631527999999997E-2</v>
      </c>
      <c r="B24" s="1">
        <f t="shared" si="8"/>
        <v>3.6901204515380672</v>
      </c>
      <c r="D24" s="7" t="s">
        <v>49</v>
      </c>
      <c r="E24" s="12" t="s">
        <v>7</v>
      </c>
      <c r="F24" s="8" t="s">
        <v>6</v>
      </c>
      <c r="G24" s="8" t="s">
        <v>8</v>
      </c>
      <c r="H24" s="12" t="s">
        <v>9</v>
      </c>
      <c r="I24" s="8" t="s">
        <v>10</v>
      </c>
      <c r="J24" s="15"/>
      <c r="L24" s="4" t="s">
        <v>69</v>
      </c>
      <c r="M24" s="10">
        <f>M23/E10</f>
        <v>7.2599609659084073E-3</v>
      </c>
      <c r="N24" s="10">
        <f t="shared" ref="N24:R24" si="10">N23/F10</f>
        <v>5.8207559250185873E-3</v>
      </c>
      <c r="O24" s="10">
        <f t="shared" si="10"/>
        <v>5.4124909782942987E-3</v>
      </c>
      <c r="P24" s="10">
        <f t="shared" si="10"/>
        <v>5.3951379825186597E-3</v>
      </c>
      <c r="Q24" s="10">
        <f t="shared" si="10"/>
        <v>5.5139043208878909E-3</v>
      </c>
      <c r="R24" s="10">
        <f t="shared" si="10"/>
        <v>5.6715045729651475E-3</v>
      </c>
    </row>
    <row r="25" spans="1:18" ht="15.75" x14ac:dyDescent="0.25">
      <c r="A25" s="9">
        <v>6.0363128000000016E-2</v>
      </c>
      <c r="B25" s="1">
        <f t="shared" si="8"/>
        <v>4.2322011466513043</v>
      </c>
      <c r="D25" s="6" t="s">
        <v>46</v>
      </c>
      <c r="E25" s="10">
        <f xml:space="preserve"> POWER(((F2-F5)^2 + (F3-F5)^2 + (F4-F5)^2) / 6,1/2)</f>
        <v>0.9056182664039214</v>
      </c>
      <c r="F25" s="10">
        <f t="shared" ref="F25:H25" si="11" xml:space="preserve"> POWER(((G2-G5)^2 + (G3-G5)^2 + (G4-G5)^2) / 6,1/2)</f>
        <v>1.1778134166515708</v>
      </c>
      <c r="G25" s="10">
        <f t="shared" si="11"/>
        <v>1.873093104407193</v>
      </c>
      <c r="H25" s="10">
        <f t="shared" si="11"/>
        <v>3.403529214082214</v>
      </c>
      <c r="I25" s="10">
        <f xml:space="preserve"> POWER(((J2-J5)^2 + (J3-J5)^2 + (J4-J5)^2) / 6,1/2)</f>
        <v>1.0947500983228007</v>
      </c>
      <c r="L25" s="59"/>
      <c r="M25" s="46"/>
      <c r="N25" s="46"/>
      <c r="O25" s="46"/>
      <c r="P25" s="46"/>
      <c r="Q25" s="46"/>
    </row>
    <row r="26" spans="1:18" ht="15.75" x14ac:dyDescent="0.25">
      <c r="A26" s="3" t="s">
        <v>37</v>
      </c>
      <c r="B26" s="1">
        <v>5.7397921441180284E-2</v>
      </c>
      <c r="D26" s="4" t="s">
        <v>47</v>
      </c>
      <c r="E26" s="45">
        <f>4.3 * E25</f>
        <v>3.8941585455368619</v>
      </c>
      <c r="F26" s="45">
        <f t="shared" ref="F26:I26" si="12">4.3 * F25</f>
        <v>5.0645976916017545</v>
      </c>
      <c r="G26" s="45">
        <f t="shared" si="12"/>
        <v>8.0543003489509299</v>
      </c>
      <c r="H26" s="45">
        <f t="shared" si="12"/>
        <v>14.63517562055352</v>
      </c>
      <c r="I26" s="45">
        <f t="shared" si="12"/>
        <v>4.7074254227880425</v>
      </c>
      <c r="L26" s="60"/>
      <c r="M26" s="46"/>
      <c r="N26" s="46"/>
      <c r="O26" s="46"/>
      <c r="P26" s="46"/>
      <c r="Q26" s="46"/>
    </row>
    <row r="27" spans="1:18" ht="15.75" x14ac:dyDescent="0.25">
      <c r="A27" s="35" t="s">
        <v>38</v>
      </c>
      <c r="B27" s="1">
        <f>SUMXMY2(A12:A17,B20:B25)</f>
        <v>4.3298355568960618E-2</v>
      </c>
      <c r="C27" s="1"/>
      <c r="D27" s="4" t="s">
        <v>45</v>
      </c>
      <c r="E27" s="45">
        <f>POWER(E26^2 + (2/3*0.005)^2,1/2)</f>
        <v>3.8941599721748563</v>
      </c>
      <c r="F27" s="45">
        <f t="shared" ref="F27:I27" si="13">POWER(F26^2 + (2/3*0.005)^2,1/2)</f>
        <v>5.064598788540799</v>
      </c>
      <c r="G27" s="45">
        <f t="shared" si="13"/>
        <v>8.0543010387135503</v>
      </c>
      <c r="H27" s="45">
        <f t="shared" si="13"/>
        <v>14.635176000156447</v>
      </c>
      <c r="I27" s="45">
        <f t="shared" si="13"/>
        <v>4.7074266029564695</v>
      </c>
    </row>
    <row r="28" spans="1:18" ht="15.75" x14ac:dyDescent="0.25">
      <c r="A28" s="34"/>
      <c r="D28" s="43" t="s">
        <v>48</v>
      </c>
      <c r="E28" s="45">
        <f>E27/F5</f>
        <v>0.11505298322360222</v>
      </c>
      <c r="F28" s="45">
        <f t="shared" ref="F28:I28" si="14">F27/G5</f>
        <v>6.7552002336930442E-2</v>
      </c>
      <c r="G28" s="45">
        <f t="shared" si="14"/>
        <v>6.6069405873730308E-2</v>
      </c>
      <c r="H28" s="45">
        <f t="shared" si="14"/>
        <v>8.0684960306654924E-2</v>
      </c>
      <c r="I28" s="45">
        <f t="shared" si="14"/>
        <v>1.8740999016481203E-2</v>
      </c>
    </row>
    <row r="29" spans="1:18" x14ac:dyDescent="0.25">
      <c r="A29" s="3" t="s">
        <v>39</v>
      </c>
      <c r="B29" s="1">
        <f>B26/B9/4</f>
        <v>3.5170295000723217E-2</v>
      </c>
    </row>
    <row r="30" spans="1:18" ht="30" x14ac:dyDescent="0.25">
      <c r="D30" s="50" t="s">
        <v>4</v>
      </c>
      <c r="E30" s="5" t="s">
        <v>46</v>
      </c>
      <c r="F30" s="5" t="s">
        <v>47</v>
      </c>
      <c r="G30" s="5" t="s">
        <v>45</v>
      </c>
      <c r="H30" s="49" t="s">
        <v>48</v>
      </c>
      <c r="I30" s="47"/>
    </row>
    <row r="31" spans="1:18" ht="15.75" x14ac:dyDescent="0.25">
      <c r="A31" s="58" t="s">
        <v>60</v>
      </c>
      <c r="B31" s="26">
        <f>POWER(B28/5/(B12^2 + B13^2 + B14^2 + B15^D302 + B16^2 + B17^2),1/2) * 9.81 / 4 / PI()^2</f>
        <v>0</v>
      </c>
      <c r="D31" s="5" t="s">
        <v>30</v>
      </c>
      <c r="E31" s="10">
        <f xml:space="preserve"> POWER(((E17-H17)^2 + (F17-H17)^2 + (G17-H17)^2) / 6,1/2)</f>
        <v>4.9833054625753458E-2</v>
      </c>
      <c r="F31" s="10">
        <f>4.3 * E31</f>
        <v>0.21428213489073986</v>
      </c>
      <c r="G31" s="45">
        <f>POWER(F31^2 + (2/3*0.005)^2,1/2)</f>
        <v>0.21430805968148831</v>
      </c>
      <c r="H31" s="45">
        <f>G31/H17</f>
        <v>1.4052987520097595E-2</v>
      </c>
      <c r="I31" s="16"/>
    </row>
    <row r="32" spans="1:18" ht="15.75" x14ac:dyDescent="0.25">
      <c r="A32" s="61"/>
      <c r="B32" s="65"/>
      <c r="D32" s="5" t="s">
        <v>31</v>
      </c>
      <c r="E32" s="10">
        <f t="shared" ref="E32:E35" si="15" xml:space="preserve"> POWER(((E18-H18)^2 + (F18-H18)^2 + (G18-H18)^2) / 6,1/2)</f>
        <v>8.6506261815739768E-2</v>
      </c>
      <c r="F32" s="10">
        <f t="shared" ref="F32:F35" si="16">4.3 * E32</f>
        <v>0.37197692580768099</v>
      </c>
      <c r="G32" s="45">
        <f t="shared" ref="G32:G36" si="17">POWER(F32^2 + (2/3*0.005)^2,1/2)</f>
        <v>0.37199186072338214</v>
      </c>
      <c r="H32" s="45">
        <f t="shared" ref="H32:H36" si="18">G32/H18</f>
        <v>2.307641815901874E-2</v>
      </c>
      <c r="I32" s="16"/>
    </row>
    <row r="33" spans="1:22" ht="15.75" x14ac:dyDescent="0.25">
      <c r="A33" s="4" t="s">
        <v>61</v>
      </c>
      <c r="B33" s="9">
        <f>SUMPRODUCT(A12:A17,_xlfn.ANCHORARRAY(B12))/SUMSQ(_xlfn.ANCHORARRAY(B12))</f>
        <v>70.931231557618361</v>
      </c>
      <c r="C33">
        <f>B34/B33</f>
        <v>1.1770655088193962E-2</v>
      </c>
      <c r="D33" s="5" t="s">
        <v>32</v>
      </c>
      <c r="E33" s="10">
        <f t="shared" si="15"/>
        <v>1.154700538379227E-2</v>
      </c>
      <c r="F33" s="10">
        <f t="shared" si="16"/>
        <v>4.9652123150306759E-2</v>
      </c>
      <c r="G33" s="45">
        <f t="shared" si="17"/>
        <v>4.9763886950723007E-2</v>
      </c>
      <c r="H33" s="45">
        <f t="shared" si="18"/>
        <v>2.9221307663372287E-3</v>
      </c>
      <c r="I33" s="48"/>
      <c r="U33" t="s">
        <v>25</v>
      </c>
      <c r="V33" t="s">
        <v>77</v>
      </c>
    </row>
    <row r="34" spans="1:22" ht="15.75" x14ac:dyDescent="0.25">
      <c r="A34" s="58" t="s">
        <v>62</v>
      </c>
      <c r="B34" s="66">
        <f>POWER((B27/5/(SUMSQ(_xlfn.ANCHORARRAY(B12)))),1/2)</f>
        <v>0.83490706164554473</v>
      </c>
      <c r="C34" s="68">
        <f>B26*C33</f>
        <v>6.7561113606338604E-4</v>
      </c>
      <c r="D34" s="30" t="s">
        <v>33</v>
      </c>
      <c r="E34" s="10">
        <f t="shared" si="15"/>
        <v>0.10336021155809148</v>
      </c>
      <c r="F34" s="10">
        <f t="shared" si="16"/>
        <v>0.44444890969979334</v>
      </c>
      <c r="G34" s="45">
        <f t="shared" si="17"/>
        <v>0.44446140939843826</v>
      </c>
      <c r="H34" s="45">
        <f t="shared" si="18"/>
        <v>2.4651215163529576E-2</v>
      </c>
      <c r="I34" s="48"/>
      <c r="U34" s="42">
        <v>0</v>
      </c>
      <c r="V34" s="1">
        <f>4*PI()*PI() * U34 / 9.81 / $B$26</f>
        <v>0</v>
      </c>
    </row>
    <row r="35" spans="1:22" ht="15.75" x14ac:dyDescent="0.25">
      <c r="A35" s="61"/>
      <c r="B35" s="65"/>
      <c r="D35" s="5" t="s">
        <v>34</v>
      </c>
      <c r="E35" s="10">
        <f t="shared" si="15"/>
        <v>0.14657193910613731</v>
      </c>
      <c r="F35" s="10">
        <f t="shared" si="16"/>
        <v>0.63025933815639035</v>
      </c>
      <c r="G35" s="45">
        <f t="shared" si="17"/>
        <v>0.63026815280834425</v>
      </c>
      <c r="H35" s="45">
        <f t="shared" si="18"/>
        <v>3.2421201276149392E-2</v>
      </c>
      <c r="I35" s="48"/>
      <c r="U35" s="9" cm="1">
        <f t="array" ref="U35:U40">TRANSPOSE($E$12:$J$12)</f>
        <v>3.1905128000000005E-2</v>
      </c>
      <c r="V35" s="1">
        <f>4*PI()*PI()*U35/9.81/ $B$26</f>
        <v>2.2369437068545657</v>
      </c>
    </row>
    <row r="36" spans="1:22" ht="15.75" x14ac:dyDescent="0.25">
      <c r="A36" s="67"/>
      <c r="B36" s="64"/>
      <c r="D36" s="5" t="s">
        <v>35</v>
      </c>
      <c r="E36" s="10">
        <f xml:space="preserve"> POWER(((E22-H22)^2 + (F22-H22)^2 + (G22-H22)^2) / 6,1/2)</f>
        <v>1.7795130420052971E-2</v>
      </c>
      <c r="F36" s="10">
        <f>4.3 * E36</f>
        <v>7.6519060806227765E-2</v>
      </c>
      <c r="G36" s="45">
        <f t="shared" si="17"/>
        <v>7.6591629945956183E-2</v>
      </c>
      <c r="H36" s="45">
        <f t="shared" si="18"/>
        <v>3.7655668606664792E-3</v>
      </c>
      <c r="I36" s="16"/>
      <c r="U36" s="9">
        <v>3.5556727999999996E-2</v>
      </c>
      <c r="V36" s="1">
        <f>4*PI()*PI()*U36/9.81/ $B$26</f>
        <v>2.4929659876600248</v>
      </c>
    </row>
    <row r="37" spans="1:22" ht="15.75" x14ac:dyDescent="0.25">
      <c r="A37" s="59"/>
      <c r="B37" s="64"/>
      <c r="U37" s="9">
        <v>4.0228328000000001E-2</v>
      </c>
      <c r="V37" s="1">
        <f t="shared" ref="V37:V40" si="19">4*PI()*PI()*U37/9.81/ $B$26</f>
        <v>2.8205028720424283</v>
      </c>
    </row>
    <row r="38" spans="1:22" ht="60" x14ac:dyDescent="0.25">
      <c r="A38" s="32" t="s">
        <v>4</v>
      </c>
      <c r="B38" s="5" t="s">
        <v>63</v>
      </c>
      <c r="C38" s="5" t="s">
        <v>64</v>
      </c>
      <c r="D38" s="7" t="s">
        <v>65</v>
      </c>
      <c r="E38" s="12" t="s">
        <v>7</v>
      </c>
      <c r="F38" s="8" t="s">
        <v>6</v>
      </c>
      <c r="G38" s="8" t="s">
        <v>8</v>
      </c>
      <c r="H38" s="12" t="s">
        <v>9</v>
      </c>
      <c r="I38" s="12" t="s">
        <v>10</v>
      </c>
      <c r="J38" s="12"/>
      <c r="U38" s="9">
        <v>4.5919927999999999E-2</v>
      </c>
      <c r="V38" s="1">
        <f t="shared" si="19"/>
        <v>3.219554360001776</v>
      </c>
    </row>
    <row r="39" spans="1:22" ht="15.75" x14ac:dyDescent="0.25">
      <c r="A39" s="5" t="s">
        <v>30</v>
      </c>
      <c r="B39" s="11">
        <f>2*$B$34*B12</f>
        <v>5.3275633339809995E-2</v>
      </c>
      <c r="C39" s="11">
        <f>B39/B20</f>
        <v>2.3816260184178921E-2</v>
      </c>
      <c r="D39" s="4" t="s">
        <v>57</v>
      </c>
      <c r="E39">
        <f>2*$O$19^(1/2)*M3</f>
        <v>0.13722666559129817</v>
      </c>
      <c r="F39">
        <f>2*$O$19^(1/2)*M4</f>
        <v>0.30392564606734485</v>
      </c>
      <c r="G39">
        <f>2*$O$19^(1/2)*M5</f>
        <v>0.49421869430532228</v>
      </c>
      <c r="H39">
        <f>2*$O$19^(1/2)*M6</f>
        <v>0.73534844524684118</v>
      </c>
      <c r="I39">
        <f>2*$O$19^(1/2)*M7</f>
        <v>1.0182745602133612</v>
      </c>
      <c r="J39">
        <f t="shared" ref="J39" si="20">2*$O$19^(1/2)*R3</f>
        <v>0</v>
      </c>
      <c r="U39" s="9">
        <v>5.2631527999999997E-2</v>
      </c>
      <c r="V39" s="1">
        <f t="shared" si="19"/>
        <v>3.6901204515380672</v>
      </c>
    </row>
    <row r="40" spans="1:22" ht="15.75" x14ac:dyDescent="0.25">
      <c r="A40" s="5" t="s">
        <v>31</v>
      </c>
      <c r="B40" s="11">
        <f t="shared" ref="B40:B44" si="21">2*$B$34*B13</f>
        <v>5.9373126592419723E-2</v>
      </c>
      <c r="C40" s="11">
        <f t="shared" ref="C40:C44" si="22">B40/B21</f>
        <v>2.3816260184178921E-2</v>
      </c>
      <c r="D40" s="4" t="s">
        <v>66</v>
      </c>
      <c r="E40">
        <f>E39/O3</f>
        <v>-0.75266286666464188</v>
      </c>
      <c r="F40">
        <f>F39/O4</f>
        <v>-0.74957287320088639</v>
      </c>
      <c r="G40">
        <f>G39/O5</f>
        <v>-0.71300685938890707</v>
      </c>
      <c r="H40">
        <f>H39/O6</f>
        <v>-0.66934300010273196</v>
      </c>
      <c r="I40">
        <f>I39/O7</f>
        <v>-0.56830985280187474</v>
      </c>
      <c r="U40" s="9">
        <v>6.0363128000000016E-2</v>
      </c>
      <c r="V40" s="1">
        <f t="shared" si="19"/>
        <v>4.2322011466513043</v>
      </c>
    </row>
    <row r="41" spans="1:22" ht="15.75" x14ac:dyDescent="0.25">
      <c r="A41" s="5" t="s">
        <v>32</v>
      </c>
      <c r="B41" s="11">
        <f t="shared" si="21"/>
        <v>6.7173830250786382E-2</v>
      </c>
      <c r="C41" s="11">
        <f t="shared" si="22"/>
        <v>2.3816260184178921E-2</v>
      </c>
    </row>
    <row r="42" spans="1:22" ht="45" x14ac:dyDescent="0.25">
      <c r="A42" s="5" t="s">
        <v>33</v>
      </c>
      <c r="B42" s="11">
        <f t="shared" si="21"/>
        <v>7.6677744314909951E-2</v>
      </c>
      <c r="C42" s="11">
        <f t="shared" si="22"/>
        <v>2.3816260184178924E-2</v>
      </c>
      <c r="E42" s="32" t="s">
        <v>4</v>
      </c>
      <c r="F42" s="5" t="s">
        <v>67</v>
      </c>
      <c r="G42" s="5" t="s">
        <v>68</v>
      </c>
    </row>
    <row r="43" spans="1:22" ht="15.75" x14ac:dyDescent="0.25">
      <c r="A43" s="5" t="s">
        <v>34</v>
      </c>
      <c r="B43" s="11">
        <f t="shared" si="21"/>
        <v>8.7884868784790418E-2</v>
      </c>
      <c r="C43" s="11">
        <f t="shared" si="22"/>
        <v>2.3816260184178921E-2</v>
      </c>
      <c r="E43" s="5" t="s">
        <v>30</v>
      </c>
      <c r="F43" s="1">
        <f t="shared" ref="F43:F48" si="23">($I17*2*9.81/4/PI()^2*G31)</f>
        <v>0.16242303235052219</v>
      </c>
      <c r="G43" s="1">
        <f>F43/E13</f>
        <v>0.28105975040195197</v>
      </c>
    </row>
    <row r="44" spans="1:22" ht="15.75" x14ac:dyDescent="0.25">
      <c r="A44" s="5" t="s">
        <v>35</v>
      </c>
      <c r="B44" s="11">
        <f t="shared" si="21"/>
        <v>0.10079520366042784</v>
      </c>
      <c r="C44" s="11">
        <f t="shared" si="22"/>
        <v>2.3816260184178921E-2</v>
      </c>
      <c r="E44" s="5" t="s">
        <v>31</v>
      </c>
      <c r="F44" s="1">
        <f t="shared" si="23"/>
        <v>0.298014737404737</v>
      </c>
      <c r="G44" s="1">
        <f>F44/F13</f>
        <v>0.46152836318037477</v>
      </c>
    </row>
    <row r="45" spans="1:22" ht="15.75" x14ac:dyDescent="0.25">
      <c r="E45" s="5" t="s">
        <v>32</v>
      </c>
      <c r="F45" s="1">
        <f t="shared" si="23"/>
        <v>4.21180454699078E-2</v>
      </c>
      <c r="G45" s="1">
        <f>F45/G13</f>
        <v>5.8442615326744565E-2</v>
      </c>
    </row>
    <row r="46" spans="1:22" ht="15.75" x14ac:dyDescent="0.25">
      <c r="E46" s="5" t="s">
        <v>33</v>
      </c>
      <c r="F46" s="1">
        <f t="shared" si="23"/>
        <v>0.39826216669679881</v>
      </c>
      <c r="G46" s="1">
        <f>F46/H13</f>
        <v>0.49302430327059149</v>
      </c>
    </row>
    <row r="47" spans="1:22" ht="15.75" x14ac:dyDescent="0.25">
      <c r="A47">
        <f>2.57*C34</f>
        <v>1.736320619682902E-3</v>
      </c>
      <c r="E47" s="5" t="s">
        <v>34</v>
      </c>
      <c r="F47" s="1">
        <f t="shared" si="23"/>
        <v>0.60892091299759987</v>
      </c>
      <c r="G47" s="1">
        <f>F47/I13</f>
        <v>0.64842402552298806</v>
      </c>
    </row>
    <row r="48" spans="1:22" ht="15.75" x14ac:dyDescent="0.25">
      <c r="E48" s="5" t="s">
        <v>35</v>
      </c>
      <c r="F48" s="1">
        <f t="shared" si="23"/>
        <v>7.7423272994769227E-2</v>
      </c>
      <c r="G48" s="1">
        <f>F48/J13</f>
        <v>7.5311337213329596E-2</v>
      </c>
    </row>
    <row r="50" spans="4:10" x14ac:dyDescent="0.25">
      <c r="D50" s="23" t="s">
        <v>24</v>
      </c>
      <c r="E50" s="22">
        <v>1</v>
      </c>
      <c r="F50" s="22">
        <v>2</v>
      </c>
      <c r="G50" s="2">
        <v>3</v>
      </c>
      <c r="H50" s="22">
        <v>4</v>
      </c>
      <c r="I50" s="22">
        <v>5</v>
      </c>
      <c r="J50" s="22">
        <v>6</v>
      </c>
    </row>
    <row r="51" spans="4:10" ht="15.75" x14ac:dyDescent="0.25">
      <c r="D51" s="5" t="s">
        <v>70</v>
      </c>
      <c r="E51" s="28">
        <f>POWER((2*$E$8*$M$23*$B$9)^2 + (2*$E$9*$R$23*$B$9)^2 + (4*E10*M23*$B$9)^2 + (($E$8^2+$E$9^2+2*E10^2)*0.0005)^2,1/2)</f>
        <v>2.0660794385562718E-4</v>
      </c>
      <c r="F51" s="28">
        <f t="shared" ref="F51:J51" si="24">POWER((2*$E$8*$M$23*$B$9)^2 + (2*$E$9*$R$23*$B$9)^2 + (4*F10*N23*$B$9)^2 + (($E$8^2+$E$9^2+2*F10^2)*0.0005)^2,1/2)</f>
        <v>2.186369258521762E-4</v>
      </c>
      <c r="G51" s="28">
        <f t="shared" si="24"/>
        <v>2.4238711429366451E-4</v>
      </c>
      <c r="H51" s="28">
        <f t="shared" si="24"/>
        <v>2.8361256817850997E-4</v>
      </c>
      <c r="I51" s="28">
        <f t="shared" si="24"/>
        <v>3.4549136686998412E-4</v>
      </c>
      <c r="J51" s="28">
        <f t="shared" si="24"/>
        <v>4.2854635934779563E-4</v>
      </c>
    </row>
    <row r="52" spans="4:10" ht="15.75" x14ac:dyDescent="0.25">
      <c r="D52" s="5" t="s">
        <v>71</v>
      </c>
      <c r="E52" s="27">
        <f>E51/E12</f>
        <v>6.4756970683718038E-3</v>
      </c>
      <c r="F52" s="27">
        <f t="shared" ref="F52:J52" si="25">F51/F12</f>
        <v>6.1489607776108145E-3</v>
      </c>
      <c r="G52" s="27">
        <f t="shared" si="25"/>
        <v>6.0252843293329148E-3</v>
      </c>
      <c r="H52" s="27">
        <f t="shared" si="25"/>
        <v>6.1762415694229739E-3</v>
      </c>
      <c r="I52" s="27">
        <f t="shared" si="25"/>
        <v>6.5643423248130687E-3</v>
      </c>
      <c r="J52" s="27">
        <f t="shared" si="25"/>
        <v>7.0994723690892148E-3</v>
      </c>
    </row>
    <row r="54" spans="4:10" x14ac:dyDescent="0.25">
      <c r="D54" s="23" t="s">
        <v>24</v>
      </c>
      <c r="E54" s="22">
        <v>1</v>
      </c>
      <c r="F54" s="22">
        <v>2</v>
      </c>
      <c r="G54" s="2">
        <v>3</v>
      </c>
      <c r="H54" s="22">
        <v>4</v>
      </c>
      <c r="I54" s="22">
        <v>5</v>
      </c>
      <c r="J54" s="22">
        <v>6</v>
      </c>
    </row>
    <row r="55" spans="4:10" ht="18.75" x14ac:dyDescent="0.25">
      <c r="D55" s="5" t="s">
        <v>72</v>
      </c>
      <c r="E55" s="28">
        <f>POWER((E51/$B$26)^2 + (E12*$C$34/($B$26^2))^2,1/2)</f>
        <v>7.467624034265305E-3</v>
      </c>
      <c r="F55" s="28">
        <f t="shared" ref="F55:J55" si="26">POWER((F51/$B$26)^2 + (F12*$C$34/($B$26^2))^2,1/2)</f>
        <v>8.2266544473913322E-3</v>
      </c>
      <c r="G55" s="28">
        <f t="shared" si="26"/>
        <v>9.2676917757767152E-3</v>
      </c>
      <c r="H55" s="28">
        <f t="shared" si="26"/>
        <v>1.0634480509320889E-2</v>
      </c>
      <c r="I55" s="28">
        <f t="shared" si="26"/>
        <v>1.2358172651720773E-2</v>
      </c>
      <c r="J55" s="28">
        <f t="shared" si="26"/>
        <v>1.4456061000793056E-2</v>
      </c>
    </row>
    <row r="56" spans="4:10" ht="18.75" x14ac:dyDescent="0.25">
      <c r="D56" s="5" t="s">
        <v>73</v>
      </c>
      <c r="E56" s="27">
        <f>E55/E14</f>
        <v>1.3434395175315696E-2</v>
      </c>
      <c r="F56" s="27">
        <f t="shared" ref="F56:J56" si="27">F55/F14</f>
        <v>1.3279986440121939E-2</v>
      </c>
      <c r="G56" s="27">
        <f t="shared" si="27"/>
        <v>1.3223175581324296E-2</v>
      </c>
      <c r="H56" s="27">
        <f t="shared" si="27"/>
        <v>1.3292640111320805E-2</v>
      </c>
      <c r="I56" s="27">
        <f t="shared" si="27"/>
        <v>1.3477348083453165E-2</v>
      </c>
      <c r="J56" s="27">
        <f t="shared" si="27"/>
        <v>1.3745938641092781E-2</v>
      </c>
    </row>
  </sheetData>
  <mergeCells count="2">
    <mergeCell ref="E8:J8"/>
    <mergeCell ref="E9:J9"/>
  </mergeCells>
  <phoneticPr fontId="13" type="noConversion"/>
  <pageMargins left="0.7" right="0.7" top="0.75" bottom="0.75" header="0.3" footer="0.3"/>
  <pageSetup paperSize="9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Русик Русик</dc:creator>
  <cp:lastModifiedBy>Nikita Ryazanov</cp:lastModifiedBy>
  <dcterms:created xsi:type="dcterms:W3CDTF">2023-05-16T15:07:58Z</dcterms:created>
  <dcterms:modified xsi:type="dcterms:W3CDTF">2025-11-29T20:31:40Z</dcterms:modified>
</cp:coreProperties>
</file>