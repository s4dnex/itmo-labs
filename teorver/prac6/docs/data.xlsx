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nex\Downloads\"/>
    </mc:Choice>
  </mc:AlternateContent>
  <xr:revisionPtr revIDLastSave="0" documentId="13_ncr:1_{2D58EA9D-21F6-46B7-A900-774F60F01004}" xr6:coauthVersionLast="47" xr6:coauthVersionMax="47" xr10:uidLastSave="{00000000-0000-0000-0000-000000000000}"/>
  <bookViews>
    <workbookView xWindow="-120" yWindow="-120" windowWidth="38640" windowHeight="21120" xr2:uid="{5EDC0AB8-DC35-4815-82E7-CCB4016E6929}"/>
  </bookViews>
  <sheets>
    <sheet name="Лист1" sheetId="1" r:id="rId1"/>
    <sheet name="Лист2" sheetId="2" r:id="rId2"/>
  </sheets>
  <definedNames>
    <definedName name="_xlchart.v1.0" hidden="1">Лист2!$A$2:$A$7</definedName>
    <definedName name="_xlchart.v1.1" hidden="1">Лист2!$B$1</definedName>
    <definedName name="_xlchart.v1.2" hidden="1">Лист2!$B$2:$B$7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H10" i="1"/>
  <c r="J8" i="1"/>
  <c r="C8" i="1"/>
  <c r="D8" i="1"/>
  <c r="E8" i="1"/>
  <c r="F8" i="1"/>
  <c r="G8" i="1"/>
  <c r="H8" i="1"/>
  <c r="I8" i="1"/>
  <c r="B8" i="1"/>
  <c r="J3" i="1"/>
  <c r="J4" i="1"/>
  <c r="J5" i="1"/>
  <c r="J6" i="1"/>
  <c r="J7" i="1"/>
  <c r="J2" i="1"/>
  <c r="B10" i="1" l="1"/>
  <c r="B14" i="1" s="1"/>
  <c r="B11" i="1"/>
  <c r="B15" i="1" s="1"/>
  <c r="E11" i="1"/>
  <c r="E10" i="1"/>
  <c r="B17" i="1" s="1"/>
  <c r="E17" i="1" s="1"/>
  <c r="B19" i="1"/>
  <c r="B18" i="1" l="1"/>
  <c r="E18" i="1" s="1"/>
  <c r="E19" i="1" s="1"/>
  <c r="B23" i="1" l="1"/>
  <c r="B22" i="1"/>
  <c r="C23" i="1" l="1"/>
  <c r="F22" i="1" s="1"/>
  <c r="B2" i="2"/>
  <c r="B6" i="2"/>
  <c r="B3" i="2"/>
  <c r="B5" i="2"/>
  <c r="B7" i="2"/>
  <c r="B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<sst xmlns="http://schemas.openxmlformats.org/spreadsheetml/2006/main" count="21" uniqueCount="19">
  <si>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X</t>
  </si>
  <si>
    <r>
      <t>m</t>
    </r>
    <r>
      <rPr>
        <vertAlign val="subscript"/>
        <sz val="11"/>
        <color theme="1"/>
        <rFont val="Aptos Narrow"/>
        <family val="2"/>
        <scheme val="minor"/>
      </rPr>
      <t>y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</si>
  <si>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x</t>
    </r>
  </si>
  <si>
    <t>X               Y</t>
  </si>
  <si>
    <t>x̄ =</t>
  </si>
  <si>
    <r>
      <rPr>
        <sz val="11"/>
        <color theme="1"/>
        <rFont val="Aptos Narrow"/>
        <family val="2"/>
      </rPr>
      <t>∑m</t>
    </r>
    <r>
      <rPr>
        <vertAlign val="subscript"/>
        <sz val="11"/>
        <color theme="1"/>
        <rFont val="Aptos Narrow"/>
        <family val="2"/>
      </rPr>
      <t>x</t>
    </r>
    <r>
      <rPr>
        <sz val="11"/>
        <color theme="1"/>
        <rFont val="Aptos Narrow"/>
        <family val="2"/>
      </rPr>
      <t xml:space="preserve"> ∙ x =</t>
    </r>
  </si>
  <si>
    <r>
      <t>∑m</t>
    </r>
    <r>
      <rPr>
        <vertAlign val="subscript"/>
        <sz val="11"/>
        <color theme="1"/>
        <rFont val="Aptos Narrow"/>
        <family val="2"/>
      </rPr>
      <t>y</t>
    </r>
    <r>
      <rPr>
        <sz val="11"/>
        <color theme="1"/>
        <rFont val="Aptos Narrow"/>
        <family val="2"/>
      </rPr>
      <t xml:space="preserve"> ∙ y =</t>
    </r>
  </si>
  <si>
    <t>ȳ =</t>
  </si>
  <si>
    <r>
      <t>∑m</t>
    </r>
    <r>
      <rPr>
        <vertAlign val="subscript"/>
        <sz val="11"/>
        <color theme="1"/>
        <rFont val="Aptos Narrow"/>
        <family val="2"/>
      </rPr>
      <t>x</t>
    </r>
    <r>
      <rPr>
        <sz val="11"/>
        <color theme="1"/>
        <rFont val="Aptos Narrow"/>
        <family val="2"/>
      </rPr>
      <t xml:space="preserve"> ∙ x² =</t>
    </r>
  </si>
  <si>
    <r>
      <t>∑m</t>
    </r>
    <r>
      <rPr>
        <vertAlign val="subscript"/>
        <sz val="11"/>
        <color theme="1"/>
        <rFont val="Aptos Narrow"/>
        <family val="2"/>
      </rPr>
      <t>y</t>
    </r>
    <r>
      <rPr>
        <sz val="11"/>
        <color theme="1"/>
        <rFont val="Aptos Narrow"/>
        <family val="2"/>
      </rPr>
      <t xml:space="preserve"> ∙ y² =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</si>
  <si>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² =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</si>
  <si>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² =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</si>
  <si>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 xml:space="preserve">xy </t>
    </r>
    <r>
      <rPr>
        <sz val="11"/>
        <color theme="1"/>
        <rFont val="Aptos Narrow"/>
        <family val="2"/>
        <scheme val="minor"/>
      </rPr>
      <t>=</t>
    </r>
  </si>
  <si>
    <r>
      <t>∑m</t>
    </r>
    <r>
      <rPr>
        <vertAlign val="subscript"/>
        <sz val="11"/>
        <color theme="1"/>
        <rFont val="Aptos Narrow"/>
        <family val="2"/>
      </rPr>
      <t>ij</t>
    </r>
    <r>
      <rPr>
        <sz val="11"/>
        <color theme="1"/>
        <rFont val="Aptos Narrow"/>
        <family val="2"/>
      </rPr>
      <t xml:space="preserve"> ∙ x</t>
    </r>
    <r>
      <rPr>
        <vertAlign val="subscript"/>
        <sz val="11"/>
        <color theme="1"/>
        <rFont val="Aptos Narrow"/>
        <family val="2"/>
      </rPr>
      <t>i</t>
    </r>
    <r>
      <rPr>
        <sz val="11"/>
        <color theme="1"/>
        <rFont val="Aptos Narrow"/>
        <family val="2"/>
      </rPr>
      <t xml:space="preserve"> ∙ y</t>
    </r>
    <r>
      <rPr>
        <vertAlign val="subscript"/>
        <sz val="11"/>
        <color theme="1"/>
        <rFont val="Aptos Narrow"/>
        <family val="2"/>
      </rPr>
      <t>j</t>
    </r>
    <r>
      <rPr>
        <sz val="11"/>
        <color theme="1"/>
        <rFont val="Aptos Narrow"/>
        <family val="2"/>
      </rPr>
      <t xml:space="preserve"> =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</si>
  <si>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</si>
  <si>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</si>
  <si>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 xml:space="preserve">xy </t>
    </r>
    <r>
      <rPr>
        <sz val="11"/>
        <color theme="1"/>
        <rFont val="Aptos Narrow"/>
        <family val="2"/>
        <scheme val="minor"/>
      </rPr>
      <t>=</t>
    </r>
  </si>
  <si>
    <t>y =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</si>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</sst>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0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Лист2!$B$1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Лист2!$A$2:$A$7</c:f>
              <c:numCache>
                <c:formatCode>0.00</c:formatCode>
                <c:ptCount val="6"/>
                <c:pt idx="0">
                  <c:v>11.6</c:v>
                </c:pt>
                <c:pt idx="1">
                  <c:v>16.600000000000001</c:v>
                </c:pt>
                <c:pt idx="2">
                  <c:v>21.6</c:v>
                </c:pt>
                <c:pt idx="3">
                  <c:v>26.6</c:v>
                </c:pt>
                <c:pt idx="4">
                  <c:v>31.6</c:v>
                </c:pt>
                <c:pt idx="5">
                  <c:v>36.6</c:v>
                </c:pt>
              </c:numCache>
            </c:numRef>
          </c:xVal>
          <c:yVal>
            <c:numRef>
              <c:f>Лист2!$B$2:$B$7</c:f>
              <c:numCache>
                <c:formatCode>0.00</c:formatCode>
                <c:ptCount val="6"/>
                <c:pt idx="0">
                  <c:v>200.62027524714074</c:v>
                </c:pt>
                <c:pt idx="1">
                  <c:v>240.06978096530327</c:v>
                </c:pt>
                <c:pt idx="2">
                  <c:v>279.51928668346574</c:v>
                </c:pt>
                <c:pt idx="3">
                  <c:v>318.96879240162821</c:v>
                </c:pt>
                <c:pt idx="4">
                  <c:v>358.41829811979073</c:v>
                </c:pt>
                <c:pt idx="5">
                  <c:v>397.86780383795315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45-4A75-8CFA-C1C570DB108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Лист2!$K$2:$K$18</c:f>
              <c:numCache>
                <c:formatCode>General</c:formatCode>
                <c:ptCount val="17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  <c:pt idx="3">
                  <c:v>16.600000000000001</c:v>
                </c:pt>
                <c:pt idx="4">
                  <c:v>16.600000000000001</c:v>
                </c:pt>
                <c:pt idx="5">
                  <c:v>16.600000000000001</c:v>
                </c:pt>
                <c:pt idx="6">
                  <c:v>21.6</c:v>
                </c:pt>
                <c:pt idx="7">
                  <c:v>21.6</c:v>
                </c:pt>
                <c:pt idx="8">
                  <c:v>21.6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  <c:pt idx="12">
                  <c:v>31.6</c:v>
                </c:pt>
                <c:pt idx="13">
                  <c:v>31.6</c:v>
                </c:pt>
                <c:pt idx="14">
                  <c:v>31.6</c:v>
                </c:pt>
                <c:pt idx="15">
                  <c:v>36.6</c:v>
                </c:pt>
                <c:pt idx="16">
                  <c:v>36.6</c:v>
                </c:pt>
              </c:numCache>
            </c:numRef>
          </c:xVal>
          <c:yVal>
            <c:numRef>
              <c:f>Лист2!$L$2:$L$18</c:f>
              <c:numCache>
                <c:formatCode>General</c:formatCode>
                <c:ptCount val="17"/>
                <c:pt idx="0">
                  <c:v>160</c:v>
                </c:pt>
                <c:pt idx="1">
                  <c:v>200</c:v>
                </c:pt>
                <c:pt idx="2">
                  <c:v>240</c:v>
                </c:pt>
                <c:pt idx="3">
                  <c:v>200</c:v>
                </c:pt>
                <c:pt idx="4">
                  <c:v>240</c:v>
                </c:pt>
                <c:pt idx="5">
                  <c:v>280</c:v>
                </c:pt>
                <c:pt idx="6">
                  <c:v>240</c:v>
                </c:pt>
                <c:pt idx="7">
                  <c:v>280</c:v>
                </c:pt>
                <c:pt idx="8">
                  <c:v>320</c:v>
                </c:pt>
                <c:pt idx="9">
                  <c:v>280</c:v>
                </c:pt>
                <c:pt idx="10">
                  <c:v>320</c:v>
                </c:pt>
                <c:pt idx="11">
                  <c:v>360</c:v>
                </c:pt>
                <c:pt idx="12">
                  <c:v>320</c:v>
                </c:pt>
                <c:pt idx="13">
                  <c:v>360</c:v>
                </c:pt>
                <c:pt idx="14">
                  <c:v>400</c:v>
                </c:pt>
                <c:pt idx="15">
                  <c:v>400</c:v>
                </c:pt>
                <c:pt idx="16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45-4A75-8CFA-C1C570DB1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008816"/>
        <c:axId val="490018896"/>
      </c:scatterChart>
      <c:valAx>
        <c:axId val="49000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18896"/>
        <c:crosses val="autoZero"/>
        <c:crossBetween val="midCat"/>
      </c:valAx>
      <c:valAx>
        <c:axId val="490018896"/>
        <c:scaling>
          <c:orientation val="minMax"/>
          <c:max val="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08816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Лист2!$K$2:$K$18</c:f>
              <c:numCache>
                <c:formatCode>General</c:formatCode>
                <c:ptCount val="17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  <c:pt idx="3">
                  <c:v>16.600000000000001</c:v>
                </c:pt>
                <c:pt idx="4">
                  <c:v>16.600000000000001</c:v>
                </c:pt>
                <c:pt idx="5">
                  <c:v>16.600000000000001</c:v>
                </c:pt>
                <c:pt idx="6">
                  <c:v>21.6</c:v>
                </c:pt>
                <c:pt idx="7">
                  <c:v>21.6</c:v>
                </c:pt>
                <c:pt idx="8">
                  <c:v>21.6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  <c:pt idx="12">
                  <c:v>31.6</c:v>
                </c:pt>
                <c:pt idx="13">
                  <c:v>31.6</c:v>
                </c:pt>
                <c:pt idx="14">
                  <c:v>31.6</c:v>
                </c:pt>
                <c:pt idx="15">
                  <c:v>36.6</c:v>
                </c:pt>
                <c:pt idx="16">
                  <c:v>36.6</c:v>
                </c:pt>
              </c:numCache>
            </c:numRef>
          </c:xVal>
          <c:yVal>
            <c:numRef>
              <c:f>Лист2!$L$2:$L$18</c:f>
              <c:numCache>
                <c:formatCode>General</c:formatCode>
                <c:ptCount val="17"/>
                <c:pt idx="0">
                  <c:v>160</c:v>
                </c:pt>
                <c:pt idx="1">
                  <c:v>200</c:v>
                </c:pt>
                <c:pt idx="2">
                  <c:v>240</c:v>
                </c:pt>
                <c:pt idx="3">
                  <c:v>200</c:v>
                </c:pt>
                <c:pt idx="4">
                  <c:v>240</c:v>
                </c:pt>
                <c:pt idx="5">
                  <c:v>280</c:v>
                </c:pt>
                <c:pt idx="6">
                  <c:v>240</c:v>
                </c:pt>
                <c:pt idx="7">
                  <c:v>280</c:v>
                </c:pt>
                <c:pt idx="8">
                  <c:v>320</c:v>
                </c:pt>
                <c:pt idx="9">
                  <c:v>280</c:v>
                </c:pt>
                <c:pt idx="10">
                  <c:v>320</c:v>
                </c:pt>
                <c:pt idx="11">
                  <c:v>360</c:v>
                </c:pt>
                <c:pt idx="12">
                  <c:v>320</c:v>
                </c:pt>
                <c:pt idx="13">
                  <c:v>360</c:v>
                </c:pt>
                <c:pt idx="14">
                  <c:v>400</c:v>
                </c:pt>
                <c:pt idx="15">
                  <c:v>400</c:v>
                </c:pt>
                <c:pt idx="16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6-47D6-B396-B3702EE3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008816"/>
        <c:axId val="490018896"/>
      </c:scatterChart>
      <c:valAx>
        <c:axId val="49000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18896"/>
        <c:crosses val="autoZero"/>
        <c:crossBetween val="midCat"/>
      </c:valAx>
      <c:valAx>
        <c:axId val="490018896"/>
        <c:scaling>
          <c:orientation val="minMax"/>
          <c:max val="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08816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555688</xdr:colOff>
      <xdr:row>1</xdr:row>
      <xdr:rowOff>61743</xdr:rowOff>
    </xdr:from>
    <xdr:to>
      <xdr:col>20</xdr:col>
      <xdr:colOff>513521</xdr:colOff>
      <xdr:row>21</xdr:row>
      <xdr:rowOff>38205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A172315-0659-7C02-D078-C35884CB1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0971" y="293656"/>
          <a:ext cx="6086963" cy="4034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9</xdr:row>
      <xdr:rowOff>188117</xdr:rowOff>
    </xdr:from>
    <xdr:to>
      <xdr:col>9</xdr:col>
      <xdr:colOff>23812</xdr:colOff>
      <xdr:row>25</xdr:row>
      <xdr:rowOff>5952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F86E67-D264-D400-87D4-5959FB072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461367</xdr:colOff>
      <xdr:row>11</xdr:row>
      <xdr:rowOff>18455</xdr:rowOff>
    </xdr:from>
    <xdr:to>
      <xdr:col>20</xdr:col>
      <xdr:colOff>175617</xdr:colOff>
      <xdr:row>25</xdr:row>
      <xdr:rowOff>94655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9F98AEB-46B8-BDF7-CF96-729BA7361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51EA-2A1F-4A99-8B3A-1D9E397F7FE7}">
  <dimension ref="A1:J23"/>
  <sheetViews>
    <sheetView tabSelected="1" zoomScale="115" zoomScaleNormal="115" workbookViewId="0">
      <selection activeCell="N25" sqref="N25"/>
    </sheetView>
  </sheetViews>
  <sheetFormatPr defaultRowHeight="15" x14ac:dyDescent="0.25"/>
  <cols>
    <col min="6" max="6" width="10.7109375" bestFit="1" customWidth="1"/>
    <col min="7" max="7" width="11.7109375" bestFit="1" customWidth="1"/>
    <col min="8" max="8" width="10.5703125" bestFit="1" customWidth="1"/>
  </cols>
  <sheetData>
    <row r="1" spans="1:10" ht="18" x14ac:dyDescent="0.25">
      <c r="A1" s="2" t="s">
        <v>3</v>
      </c>
      <c r="B1" s="3">
        <v>160</v>
      </c>
      <c r="C1" s="3">
        <v>200</v>
      </c>
      <c r="D1" s="3">
        <v>240</v>
      </c>
      <c r="E1" s="3">
        <v>280</v>
      </c>
      <c r="F1" s="3">
        <v>320</v>
      </c>
      <c r="G1" s="3">
        <v>360</v>
      </c>
      <c r="H1" s="3">
        <v>400</v>
      </c>
      <c r="I1" s="3">
        <v>440</v>
      </c>
      <c r="J1" s="4" t="s">
        <v>2</v>
      </c>
    </row>
    <row r="2" spans="1:10" x14ac:dyDescent="0.25">
      <c r="A2" s="5">
        <v>11.6</v>
      </c>
      <c r="B2" s="6">
        <v>1</v>
      </c>
      <c r="C2" s="6">
        <v>4</v>
      </c>
      <c r="D2" s="6">
        <v>5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7">
        <f>SUM(B2:I2)</f>
        <v>10</v>
      </c>
    </row>
    <row r="3" spans="1:10" x14ac:dyDescent="0.25">
      <c r="A3" s="5">
        <v>16.600000000000001</v>
      </c>
      <c r="B3" s="6">
        <v>0</v>
      </c>
      <c r="C3" s="6">
        <v>6</v>
      </c>
      <c r="D3" s="6">
        <v>7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7">
        <f t="shared" ref="J3:J7" si="0">SUM(B3:I3)</f>
        <v>15</v>
      </c>
    </row>
    <row r="4" spans="1:10" x14ac:dyDescent="0.25">
      <c r="A4" s="5">
        <v>21.6</v>
      </c>
      <c r="B4" s="6">
        <v>0</v>
      </c>
      <c r="C4" s="6">
        <v>0</v>
      </c>
      <c r="D4" s="6">
        <v>5</v>
      </c>
      <c r="E4" s="6">
        <v>8</v>
      </c>
      <c r="F4" s="6">
        <v>6</v>
      </c>
      <c r="G4" s="6">
        <v>0</v>
      </c>
      <c r="H4" s="6">
        <v>0</v>
      </c>
      <c r="I4" s="6">
        <v>0</v>
      </c>
      <c r="J4" s="7">
        <f t="shared" si="0"/>
        <v>19</v>
      </c>
    </row>
    <row r="5" spans="1:10" x14ac:dyDescent="0.25">
      <c r="A5" s="5">
        <v>26.6</v>
      </c>
      <c r="B5" s="6">
        <v>0</v>
      </c>
      <c r="C5" s="6">
        <v>0</v>
      </c>
      <c r="D5" s="6">
        <v>0</v>
      </c>
      <c r="E5" s="6">
        <v>9</v>
      </c>
      <c r="F5" s="6">
        <v>13</v>
      </c>
      <c r="G5" s="6">
        <v>6</v>
      </c>
      <c r="H5" s="6">
        <v>0</v>
      </c>
      <c r="I5" s="6">
        <v>0</v>
      </c>
      <c r="J5" s="7">
        <f t="shared" si="0"/>
        <v>28</v>
      </c>
    </row>
    <row r="6" spans="1:10" x14ac:dyDescent="0.25">
      <c r="A6" s="5">
        <v>31.6</v>
      </c>
      <c r="B6" s="6">
        <v>0</v>
      </c>
      <c r="C6" s="6">
        <v>0</v>
      </c>
      <c r="D6" s="6">
        <v>0</v>
      </c>
      <c r="E6" s="6">
        <v>0</v>
      </c>
      <c r="F6" s="6">
        <v>7</v>
      </c>
      <c r="G6" s="6">
        <v>8</v>
      </c>
      <c r="H6" s="6">
        <v>4</v>
      </c>
      <c r="I6" s="6">
        <v>0</v>
      </c>
      <c r="J6" s="7">
        <f t="shared" si="0"/>
        <v>19</v>
      </c>
    </row>
    <row r="7" spans="1:10" x14ac:dyDescent="0.25">
      <c r="A7" s="5">
        <v>36.6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6</v>
      </c>
      <c r="I7" s="6">
        <v>3</v>
      </c>
      <c r="J7" s="7">
        <f t="shared" si="0"/>
        <v>9</v>
      </c>
    </row>
    <row r="8" spans="1:10" ht="18" x14ac:dyDescent="0.25">
      <c r="A8" s="8" t="s">
        <v>1</v>
      </c>
      <c r="B8" s="9">
        <f>SUM(B2:B7)</f>
        <v>1</v>
      </c>
      <c r="C8" s="9">
        <f t="shared" ref="C8:I8" si="1">SUM(C2:C7)</f>
        <v>10</v>
      </c>
      <c r="D8" s="9">
        <f t="shared" si="1"/>
        <v>17</v>
      </c>
      <c r="E8" s="9">
        <f t="shared" si="1"/>
        <v>19</v>
      </c>
      <c r="F8" s="9">
        <f t="shared" si="1"/>
        <v>26</v>
      </c>
      <c r="G8" s="9">
        <f t="shared" si="1"/>
        <v>14</v>
      </c>
      <c r="H8" s="9">
        <f t="shared" si="1"/>
        <v>10</v>
      </c>
      <c r="I8" s="9">
        <f t="shared" si="1"/>
        <v>3</v>
      </c>
      <c r="J8" s="10">
        <f>SUM(B2:I7)</f>
        <v>100</v>
      </c>
    </row>
    <row r="10" spans="1:10" ht="18" x14ac:dyDescent="0.35">
      <c r="A10" s="11" t="s">
        <v>5</v>
      </c>
      <c r="B10">
        <f>SUM(J2*A2, J3*A3, J4*A4, J5*A5, J6*A6, J7*A7)</f>
        <v>2450.0000000000005</v>
      </c>
      <c r="D10" s="11" t="s">
        <v>8</v>
      </c>
      <c r="E10">
        <f>SUM(J2*A2^2, J3*A3^2, J4*A4^2, J5*A5^2, J6*A6^2, J7*A7^2)</f>
        <v>65184</v>
      </c>
      <c r="G10" s="11" t="s">
        <v>13</v>
      </c>
      <c r="H10">
        <f>SUMPRODUCT(B2:B7,A2:A7)*B1 + SUMPRODUCT(C2:C7, A2:A7) *C1 + SUMPRODUCT(D2:D7, A2:A7) *D1 +SUMPRODUCT(E2:E7,A2:A7)*E1+SUMPRODUCT(F2:F7, A2:A7)*F1+SUMPRODUCT(G2:G7, A2:A7)*G1 + SUMPRODUCT(H2:H7, A2:A7)*H1+ SUMPRODUCT(I2:I7, A2:A7)*I1</f>
        <v>781584</v>
      </c>
    </row>
    <row r="11" spans="1:10" ht="18" x14ac:dyDescent="0.35">
      <c r="A11" s="11" t="s">
        <v>6</v>
      </c>
      <c r="B11">
        <f>SUM(B8*B1, C8*C1, D8*D1, E8*E1, F8*F1, G8*G1, H8*H1, I8*I1)</f>
        <v>30240</v>
      </c>
      <c r="D11" s="11" t="s">
        <v>9</v>
      </c>
      <c r="E11">
        <f>SUM(B8*B1^2, C8*C1^2, D8*D1^2, E8*E1^2, F8*F1^2, G8*G1^2, H8*H1^2, I8*I1^2)</f>
        <v>9552000</v>
      </c>
    </row>
    <row r="14" spans="1:10" x14ac:dyDescent="0.25">
      <c r="A14" s="11" t="s">
        <v>4</v>
      </c>
      <c r="B14" s="12">
        <f>B10/J8</f>
        <v>24.500000000000004</v>
      </c>
    </row>
    <row r="15" spans="1:10" x14ac:dyDescent="0.25">
      <c r="A15" s="11" t="s">
        <v>7</v>
      </c>
      <c r="B15" s="12">
        <f>B11/J8</f>
        <v>302.39999999999998</v>
      </c>
    </row>
    <row r="17" spans="1:6" ht="18" x14ac:dyDescent="0.35">
      <c r="A17" t="s">
        <v>10</v>
      </c>
      <c r="B17" s="12">
        <f>1/(J8-1)*(E10-1/J8*B10^2)</f>
        <v>52.111111111110894</v>
      </c>
      <c r="D17" t="s">
        <v>14</v>
      </c>
      <c r="E17" s="12">
        <f>SQRT(B17)</f>
        <v>7.2188026092358903</v>
      </c>
    </row>
    <row r="18" spans="1:6" ht="18" x14ac:dyDescent="0.35">
      <c r="A18" t="s">
        <v>11</v>
      </c>
      <c r="B18" s="12">
        <f>1/(J8-1)*(E11-1/J8*B11^2)</f>
        <v>4115.3939393939399</v>
      </c>
      <c r="D18" t="s">
        <v>15</v>
      </c>
      <c r="E18" s="12">
        <f>SQRT(B18)</f>
        <v>64.151336224539705</v>
      </c>
    </row>
    <row r="19" spans="1:6" ht="18" x14ac:dyDescent="0.35">
      <c r="A19" t="s">
        <v>12</v>
      </c>
      <c r="B19" s="12">
        <f>1/(J8-1)*(H10-1/J8*B10*B11)</f>
        <v>411.15151515151399</v>
      </c>
      <c r="D19" t="s">
        <v>16</v>
      </c>
      <c r="E19" s="12">
        <f>B19/(E17*E18)</f>
        <v>0.88783246482838429</v>
      </c>
    </row>
    <row r="22" spans="1:6" x14ac:dyDescent="0.25">
      <c r="A22" t="s">
        <v>17</v>
      </c>
      <c r="B22" s="13" t="str">
        <f>CONCATENATE(TEXT(B15, "#0,00"), " + ", TEXT(E19, "#0,00"), " ∙ ", TEXT(E18, "#0,00"), " / ", TEXT(E17, "#0,00"), " ∙ ", "(x - ", TEXT(B14, "#0,00"), ")")</f>
        <v>302,40 + 0,89 ∙ 64,15 / 7,22 ∙ (x - 24,50)</v>
      </c>
      <c r="F22" t="str">
        <f>CONCATENATE("= ", TEXT(B23,"#0,00"), "x + ", TEXT(C23,"#0,00"))</f>
        <v>= 7,89x + 109,10</v>
      </c>
    </row>
    <row r="23" spans="1:6" x14ac:dyDescent="0.25">
      <c r="B23" s="12">
        <f>E19*E18/E17</f>
        <v>7.8899011436324962</v>
      </c>
      <c r="C23" s="12">
        <f>B15+B23*(-B14)</f>
        <v>109.09742198100381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4E89-D508-44AE-A232-740A2FD62343}">
  <dimension ref="A1:S18"/>
  <sheetViews>
    <sheetView zoomScale="160" zoomScaleNormal="160" workbookViewId="0">
      <selection activeCell="K27" sqref="K27"/>
    </sheetView>
  </sheetViews>
  <sheetFormatPr defaultRowHeight="15" x14ac:dyDescent="0.25"/>
  <sheetData>
    <row r="1" spans="1:19" x14ac:dyDescent="0.25">
      <c r="A1" s="1" t="s">
        <v>0</v>
      </c>
      <c r="B1" s="1" t="s">
        <v>18</v>
      </c>
      <c r="K1" s="3" t="s">
        <v>0</v>
      </c>
      <c r="L1" s="3" t="s">
        <v>18</v>
      </c>
      <c r="M1" s="3"/>
      <c r="N1" s="3"/>
      <c r="S1" s="3"/>
    </row>
    <row r="2" spans="1:19" x14ac:dyDescent="0.25">
      <c r="A2" s="14" cm="1">
        <f t="array" ref="A2:A7">Лист1!A2:A7</f>
        <v>11.6</v>
      </c>
      <c r="B2" s="14">
        <f>Лист2!A2*Лист1!$B$23+Лист1!$C$23</f>
        <v>200.62027524714074</v>
      </c>
      <c r="K2" s="6">
        <v>11.6</v>
      </c>
      <c r="L2" s="6">
        <v>160</v>
      </c>
      <c r="S2" s="6"/>
    </row>
    <row r="3" spans="1:19" x14ac:dyDescent="0.25">
      <c r="A3" s="14">
        <v>16.600000000000001</v>
      </c>
      <c r="B3" s="14">
        <f>Лист2!A3*Лист1!$B$23+Лист1!$C$23</f>
        <v>240.06978096530327</v>
      </c>
      <c r="K3" s="6">
        <v>11.6</v>
      </c>
      <c r="L3" s="6">
        <v>200</v>
      </c>
      <c r="S3" s="6"/>
    </row>
    <row r="4" spans="1:19" x14ac:dyDescent="0.25">
      <c r="A4" s="14">
        <v>21.6</v>
      </c>
      <c r="B4" s="14">
        <f>Лист2!A4*Лист1!$B$23+Лист1!$C$23</f>
        <v>279.51928668346574</v>
      </c>
      <c r="K4" s="6">
        <v>11.6</v>
      </c>
      <c r="L4" s="6">
        <v>240</v>
      </c>
      <c r="S4" s="6"/>
    </row>
    <row r="5" spans="1:19" x14ac:dyDescent="0.25">
      <c r="A5" s="14">
        <v>26.6</v>
      </c>
      <c r="B5" s="14">
        <f>Лист2!A5*Лист1!$B$23+Лист1!$C$23</f>
        <v>318.96879240162821</v>
      </c>
      <c r="K5" s="1">
        <v>16.600000000000001</v>
      </c>
      <c r="L5" s="6">
        <v>200</v>
      </c>
      <c r="S5" s="6"/>
    </row>
    <row r="6" spans="1:19" x14ac:dyDescent="0.25">
      <c r="A6" s="14">
        <v>31.6</v>
      </c>
      <c r="B6" s="14">
        <f>Лист2!A6*Лист1!$B$23+Лист1!$C$23</f>
        <v>358.41829811979073</v>
      </c>
      <c r="K6" s="1">
        <v>16.600000000000001</v>
      </c>
      <c r="L6" s="6">
        <v>240</v>
      </c>
      <c r="S6" s="6"/>
    </row>
    <row r="7" spans="1:19" x14ac:dyDescent="0.25">
      <c r="A7" s="14">
        <v>36.6</v>
      </c>
      <c r="B7" s="14">
        <f>Лист2!A7*Лист1!$B$23+Лист1!$C$23</f>
        <v>397.86780383795315</v>
      </c>
      <c r="K7" s="1">
        <v>16.600000000000001</v>
      </c>
      <c r="L7" s="6">
        <v>280</v>
      </c>
    </row>
    <row r="8" spans="1:19" x14ac:dyDescent="0.25">
      <c r="K8" s="1">
        <v>21.6</v>
      </c>
      <c r="L8" s="1">
        <v>240</v>
      </c>
    </row>
    <row r="9" spans="1:19" x14ac:dyDescent="0.25">
      <c r="K9" s="1">
        <v>21.6</v>
      </c>
      <c r="L9" s="6">
        <v>280</v>
      </c>
    </row>
    <row r="10" spans="1:19" x14ac:dyDescent="0.25">
      <c r="K10" s="1">
        <v>21.6</v>
      </c>
      <c r="L10" s="6">
        <v>320</v>
      </c>
    </row>
    <row r="11" spans="1:19" x14ac:dyDescent="0.25">
      <c r="K11" s="1">
        <v>26.6</v>
      </c>
      <c r="L11" s="1">
        <v>280</v>
      </c>
    </row>
    <row r="12" spans="1:19" x14ac:dyDescent="0.25">
      <c r="K12" s="1">
        <v>26.6</v>
      </c>
      <c r="L12" s="1">
        <v>320</v>
      </c>
    </row>
    <row r="13" spans="1:19" x14ac:dyDescent="0.25">
      <c r="K13" s="1">
        <v>26.6</v>
      </c>
      <c r="L13" s="6">
        <v>360</v>
      </c>
    </row>
    <row r="14" spans="1:19" x14ac:dyDescent="0.25">
      <c r="K14" s="6">
        <v>31.6</v>
      </c>
      <c r="L14" s="1">
        <v>320</v>
      </c>
    </row>
    <row r="15" spans="1:19" x14ac:dyDescent="0.25">
      <c r="K15" s="6">
        <v>31.6</v>
      </c>
      <c r="L15" s="1">
        <v>360</v>
      </c>
    </row>
    <row r="16" spans="1:19" x14ac:dyDescent="0.25">
      <c r="K16" s="6">
        <v>31.6</v>
      </c>
      <c r="L16" s="1">
        <v>400</v>
      </c>
    </row>
    <row r="17" spans="11:14" x14ac:dyDescent="0.25">
      <c r="K17" s="6">
        <v>36.6</v>
      </c>
      <c r="L17" s="6">
        <v>400</v>
      </c>
    </row>
    <row r="18" spans="11:14" x14ac:dyDescent="0.25">
      <c r="K18" s="6">
        <v>36.6</v>
      </c>
      <c r="L18" s="6">
        <v>440</v>
      </c>
      <c r="N1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Ryazanov</dc:creator>
  <cp:lastModifiedBy>Nikita Ryazanov</cp:lastModifiedBy>
  <dcterms:created xsi:type="dcterms:W3CDTF">2025-11-23T14:41:44Z</dcterms:created>
  <dcterms:modified xsi:type="dcterms:W3CDTF">2025-11-23T16:33:52Z</dcterms:modified>
</cp:coreProperties>
</file>